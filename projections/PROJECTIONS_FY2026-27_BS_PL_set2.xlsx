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ed P&amp;L FY27" sheetId="2" state="visible" r:id="rId2"/>
    <sheet name="Projected BS FY27" sheetId="3" state="visible" r:id="rId3"/>
    <sheet name="Summary &amp;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#,##0.00,,,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  <color rgb="00555555"/>
      <sz val="9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thin">
        <color rgb="00999999"/>
      </top>
      <bottom style="double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5" fontId="0" fillId="0" borderId="1" pivotButton="0" quotePrefix="0" xfId="0"/>
    <xf numFmtId="164" fontId="0" fillId="0" borderId="1" pivotButton="0" quotePrefix="0" xfId="0"/>
    <xf numFmtId="0" fontId="3" fillId="0" borderId="1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165" fontId="4" fillId="3" borderId="1" pivotButton="0" quotePrefix="0" xfId="0"/>
    <xf numFmtId="164" fontId="4" fillId="3" borderId="1" pivotButton="0" quotePrefix="0" xfId="0"/>
    <xf numFmtId="0" fontId="5" fillId="3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165" fontId="4" fillId="0" borderId="1" pivotButton="0" quotePrefix="0" xfId="0"/>
    <xf numFmtId="164" fontId="4" fillId="0" borderId="1" pivotButton="0" quotePrefix="0" xfId="0"/>
    <xf numFmtId="0" fontId="5" fillId="0" borderId="1" applyAlignment="1" pivotButton="0" quotePrefix="0" xfId="0">
      <alignment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165" fontId="4" fillId="0" borderId="2" pivotButton="0" quotePrefix="0" xfId="0"/>
    <xf numFmtId="0" fontId="5" fillId="0" borderId="2" applyAlignment="1" pivotButton="0" quotePrefix="0" xfId="0">
      <alignment wrapText="1"/>
    </xf>
    <xf numFmtId="165" fontId="3" fillId="0" borderId="0" pivotButton="0" quotePrefix="0" xfId="0"/>
    <xf numFmtId="0" fontId="4" fillId="2" borderId="1" pivotButton="0" quotePrefix="0" xfId="0"/>
    <xf numFmtId="166" fontId="0" fillId="0" borderId="1" pivotButton="0" quotePrefix="0" xfId="0"/>
    <xf numFmtId="0" fontId="2" fillId="0" borderId="0" pivotButton="0" quotePrefix="0" xfId="0"/>
    <xf numFmtId="2" fontId="0" fillId="0" borderId="1" pivotButton="0" quotePrefix="0" xfId="0"/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  <col width="10" customWidth="1" min="3" max="3"/>
  </cols>
  <sheetData>
    <row r="1">
      <c r="A1" s="1" t="inlineStr">
        <is>
          <t>IMPRESSIONS SERVICES PRIVATE LIMITED</t>
        </is>
      </c>
    </row>
    <row r="2">
      <c r="A2" s="2" t="inlineStr">
        <is>
          <t>PROJECTIONS FY 2026-27 — KEY ASSUMPTIONS</t>
        </is>
      </c>
    </row>
    <row r="3">
      <c r="A3" s="3" t="inlineStr">
        <is>
          <t>CIN: U74930DL2002PTC114966   |   Base: BS_TB 2025-26 CONSOLIDATED Set 2   |   Amount in INR</t>
        </is>
      </c>
    </row>
    <row r="5">
      <c r="A5" s="4" t="inlineStr">
        <is>
          <t>Driver / Item</t>
        </is>
      </c>
      <c r="B5" s="4" t="inlineStr">
        <is>
          <t>Basis</t>
        </is>
      </c>
      <c r="C5" s="4" t="inlineStr">
        <is>
          <t>Value</t>
        </is>
      </c>
    </row>
    <row r="6">
      <c r="A6" s="5" t="inlineStr">
        <is>
          <t>Revenue from operations</t>
        </is>
      </c>
      <c r="B6" s="5" t="inlineStr">
        <is>
          <t>Growth over FY 2025-26</t>
        </is>
      </c>
      <c r="C6" s="6" t="n">
        <v>0.1</v>
      </c>
    </row>
    <row r="7">
      <c r="A7" s="5" t="inlineStr">
        <is>
          <t>Purchases of stock-in-trade</t>
        </is>
      </c>
      <c r="B7" s="5" t="inlineStr">
        <is>
          <t>Proportionate to sales (+10%)</t>
        </is>
      </c>
      <c r="C7" s="6" t="n">
        <v>0.1</v>
      </c>
    </row>
    <row r="8">
      <c r="A8" s="5" t="inlineStr">
        <is>
          <t>Employee benefits expense</t>
        </is>
      </c>
      <c r="B8" s="5" t="inlineStr">
        <is>
          <t>Proportionate to sales (+10%) — manpower-linked business</t>
        </is>
      </c>
      <c r="C8" s="6" t="n">
        <v>0.1</v>
      </c>
    </row>
    <row r="9">
      <c r="A9" s="5" t="inlineStr">
        <is>
          <t>Finance cost</t>
        </is>
      </c>
      <c r="B9" s="5" t="inlineStr">
        <is>
          <t>Grown +10% (prudence: working capital rises with sales)</t>
        </is>
      </c>
      <c r="C9" s="6" t="n">
        <v>0.1</v>
      </c>
    </row>
    <row r="10">
      <c r="A10" s="5" t="inlineStr">
        <is>
          <t>Depreciation</t>
        </is>
      </c>
      <c r="B10" s="5" t="inlineStr">
        <is>
          <t>Grown +10% (maintenance capex assumed ≈ depreciation)</t>
        </is>
      </c>
      <c r="C10" s="6" t="n">
        <v>0.1</v>
      </c>
    </row>
    <row r="11">
      <c r="A11" s="5" t="inlineStr">
        <is>
          <t>Other expenses</t>
        </is>
      </c>
      <c r="B11" s="5" t="inlineStr">
        <is>
          <t>Proportionate to sales (+10%)</t>
        </is>
      </c>
      <c r="C11" s="6" t="n">
        <v>0.1</v>
      </c>
    </row>
    <row r="12">
      <c r="A12" s="5" t="inlineStr">
        <is>
          <t>Other income</t>
        </is>
      </c>
      <c r="B12" s="5" t="inlineStr">
        <is>
          <t>PRUDENCE: held flat at FY26 level — not grown</t>
        </is>
      </c>
      <c r="C12" s="6" t="n">
        <v>0</v>
      </c>
    </row>
    <row r="13">
      <c r="A13" s="5" t="inlineStr">
        <is>
          <t>Change in inventories</t>
        </is>
      </c>
      <c r="B13" s="5" t="inlineStr">
        <is>
          <t>PRUDENCE: taken as NIL — no stock gain assumed</t>
        </is>
      </c>
      <c r="C13" s="5" t="n"/>
    </row>
    <row r="14">
      <c r="A14" s="5" t="inlineStr">
        <is>
          <t>Current tax</t>
        </is>
      </c>
      <c r="B14" s="5" t="inlineStr">
        <is>
          <t>PRUDENCE: full provision @ 25.168% (s.115BAA); no prior-year tax credits assumed</t>
        </is>
      </c>
      <c r="C14" s="6" t="n">
        <v>0.25168</v>
      </c>
    </row>
    <row r="15">
      <c r="A15" s="5" t="inlineStr">
        <is>
          <t>Dividend</t>
        </is>
      </c>
      <c r="B15" s="5" t="inlineStr">
        <is>
          <t>PRUDENCE: nil — entire PAT retained in reserves</t>
        </is>
      </c>
      <c r="C15" s="5" t="n"/>
    </row>
    <row r="16">
      <c r="A16" s="5" t="inlineStr">
        <is>
          <t>Trade receivables / inventories / ST loans &amp; adv / other CA</t>
        </is>
      </c>
      <c r="B16" s="5" t="inlineStr">
        <is>
          <t>Scale with sales (+10%) — same collection cycle assumed</t>
        </is>
      </c>
      <c r="C16" s="6" t="n">
        <v>0.1</v>
      </c>
    </row>
    <row r="17">
      <c r="A17" s="5" t="inlineStr">
        <is>
          <t>Trade payables / other current liabilities / ST provisions</t>
        </is>
      </c>
      <c r="B17" s="5" t="inlineStr">
        <is>
          <t>Scale with sales (+10%)</t>
        </is>
      </c>
      <c r="C17" s="6" t="n">
        <v>0.1</v>
      </c>
    </row>
    <row r="18">
      <c r="A18" s="5" t="inlineStr">
        <is>
          <t>Long-term provisions (gratuity)</t>
        </is>
      </c>
      <c r="B18" s="5" t="inlineStr">
        <is>
          <t>Scale with employee cost (+10%)</t>
        </is>
      </c>
      <c r="C18" s="6" t="n">
        <v>0.1</v>
      </c>
    </row>
    <row r="19">
      <c r="A19" s="5" t="inlineStr">
        <is>
          <t>Long &amp; short-term borrowings</t>
        </is>
      </c>
      <c r="B19" s="5" t="inlineStr">
        <is>
          <t>PRUDENCE: held at FY26 level — growth funded internally</t>
        </is>
      </c>
      <c r="C19" s="6" t="n">
        <v>0</v>
      </c>
    </row>
    <row r="20">
      <c r="A20" s="5" t="inlineStr">
        <is>
          <t>Share capital / investments / DTA / LT loans &amp; advances / interunit</t>
        </is>
      </c>
      <c r="B20" s="5" t="inlineStr">
        <is>
          <t>Held constant</t>
        </is>
      </c>
      <c r="C20" s="6" t="n">
        <v>0</v>
      </c>
    </row>
    <row r="21">
      <c r="A21" s="5" t="inlineStr">
        <is>
          <t>Property, plant &amp; equipment (net)</t>
        </is>
      </c>
      <c r="B21" s="5" t="inlineStr">
        <is>
          <t>Held flat — capex assumed equal to depreciation</t>
        </is>
      </c>
      <c r="C21" s="6" t="n">
        <v>0</v>
      </c>
    </row>
    <row r="22">
      <c r="A22" s="5" t="inlineStr">
        <is>
          <t>Cash &amp; cash equivalents</t>
        </is>
      </c>
      <c r="B22" s="5" t="inlineStr">
        <is>
          <t>Balancing figure</t>
        </is>
      </c>
      <c r="C22" s="5" t="n"/>
    </row>
    <row r="24">
      <c r="A24" s="7" t="inlineStr">
        <is>
          <t>Note: Change the growth rate in cell C6 — the projected P&amp;L and Balance Sheet recalculate automatically.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9" customWidth="1" min="5" max="5"/>
    <col width="42" customWidth="1" min="6" max="6"/>
  </cols>
  <sheetData>
    <row r="1">
      <c r="A1" s="1" t="inlineStr">
        <is>
          <t>IMPRESSIONS SERVICES PRIVATE LIMITED</t>
        </is>
      </c>
    </row>
    <row r="2">
      <c r="A2" s="2" t="inlineStr">
        <is>
          <t>PROJECTED STATEMENT OF PROFIT AND LOSS FOR THE YEAR ENDING MARCH 31, 2027</t>
        </is>
      </c>
    </row>
    <row r="3">
      <c r="A3" s="3" t="inlineStr">
        <is>
          <t>CIN: U74930DL2002PTC114966   |   Base: BS_TB 2025-26 CONSOLIDATED Set 2   |   Amount in INR</t>
        </is>
      </c>
    </row>
    <row r="5">
      <c r="A5" s="8" t="inlineStr"/>
      <c r="B5" s="8" t="inlineStr">
        <is>
          <t>Particulars</t>
        </is>
      </c>
      <c r="C5" s="8" t="inlineStr">
        <is>
          <t>FY 2025-26 (Base)</t>
        </is>
      </c>
      <c r="D5" s="8" t="inlineStr">
        <is>
          <t>FY 2026-27 (Projected)</t>
        </is>
      </c>
      <c r="E5" s="8" t="inlineStr">
        <is>
          <t>Change</t>
        </is>
      </c>
      <c r="F5" s="8" t="inlineStr">
        <is>
          <t>Basis</t>
        </is>
      </c>
    </row>
    <row r="6">
      <c r="A6" s="9" t="inlineStr">
        <is>
          <t>I</t>
        </is>
      </c>
      <c r="B6" s="10" t="inlineStr">
        <is>
          <t>Revenue from Operations</t>
        </is>
      </c>
      <c r="C6" s="11" t="n">
        <v>4898238075.54</v>
      </c>
      <c r="D6" s="11">
        <f>C6*(1+Assumptions!$C$6)</f>
        <v/>
      </c>
      <c r="E6" s="12">
        <f>IFERROR(D6/C6-1,"")</f>
        <v/>
      </c>
      <c r="F6" s="13" t="inlineStr">
        <is>
          <t>Sales +10%</t>
        </is>
      </c>
    </row>
    <row r="7">
      <c r="A7" s="9" t="inlineStr">
        <is>
          <t>II</t>
        </is>
      </c>
      <c r="B7" s="10" t="inlineStr">
        <is>
          <t>Other income</t>
        </is>
      </c>
      <c r="C7" s="11" t="n">
        <v>9993615.65</v>
      </c>
      <c r="D7" s="11">
        <f>C7</f>
        <v/>
      </c>
      <c r="E7" s="12">
        <f>IFERROR(D7/C7-1,"")</f>
        <v/>
      </c>
      <c r="F7" s="13" t="inlineStr">
        <is>
          <t>Held flat — prudence</t>
        </is>
      </c>
    </row>
    <row r="8">
      <c r="A8" s="14" t="inlineStr">
        <is>
          <t>III</t>
        </is>
      </c>
      <c r="B8" s="15" t="inlineStr">
        <is>
          <t>Total Income (I+II)</t>
        </is>
      </c>
      <c r="C8" s="16">
        <f>SUM(C6:C7)</f>
        <v/>
      </c>
      <c r="D8" s="16">
        <f>SUM(D6:D7)</f>
        <v/>
      </c>
      <c r="E8" s="17">
        <f>IFERROR(D8/C8-1,"")</f>
        <v/>
      </c>
      <c r="F8" s="18" t="inlineStr"/>
    </row>
    <row r="9">
      <c r="A9" s="9" t="inlineStr">
        <is>
          <t>IV</t>
        </is>
      </c>
      <c r="B9" s="10" t="inlineStr">
        <is>
          <t>Expenses:</t>
        </is>
      </c>
      <c r="C9" s="9" t="n"/>
      <c r="D9" s="9" t="n"/>
      <c r="E9" s="9" t="n"/>
      <c r="F9" s="13" t="inlineStr"/>
    </row>
    <row r="10">
      <c r="A10" s="9" t="inlineStr"/>
      <c r="B10" s="10" t="inlineStr">
        <is>
          <t>Purchases of Stock-in-Trade</t>
        </is>
      </c>
      <c r="C10" s="11" t="n">
        <v>129055957.47</v>
      </c>
      <c r="D10" s="11">
        <f>C10*(1+Assumptions!$C$6)</f>
        <v/>
      </c>
      <c r="E10" s="12">
        <f>IFERROR(D10/C10-1,"")</f>
        <v/>
      </c>
      <c r="F10" s="13" t="inlineStr">
        <is>
          <t>Proportionate +10%</t>
        </is>
      </c>
    </row>
    <row r="11">
      <c r="A11" s="9" t="inlineStr"/>
      <c r="B11" s="10" t="inlineStr">
        <is>
          <t>Changes in inventories of finished goods, WIP and stock-in-trade</t>
        </is>
      </c>
      <c r="C11" s="11" t="n">
        <v>26225</v>
      </c>
      <c r="D11" s="11" t="n">
        <v>0</v>
      </c>
      <c r="E11" s="9" t="n"/>
      <c r="F11" s="13" t="inlineStr">
        <is>
          <t>Taken as NIL — prudence</t>
        </is>
      </c>
    </row>
    <row r="12">
      <c r="A12" s="9" t="inlineStr"/>
      <c r="B12" s="10" t="inlineStr">
        <is>
          <t>Employee benefits expense</t>
        </is>
      </c>
      <c r="C12" s="11" t="n">
        <v>4143800770.32</v>
      </c>
      <c r="D12" s="11">
        <f>C12*(1+Assumptions!$C$6)</f>
        <v/>
      </c>
      <c r="E12" s="12">
        <f>IFERROR(D12/C12-1,"")</f>
        <v/>
      </c>
      <c r="F12" s="13" t="inlineStr">
        <is>
          <t>Proportionate +10%</t>
        </is>
      </c>
    </row>
    <row r="13">
      <c r="A13" s="9" t="inlineStr"/>
      <c r="B13" s="10" t="inlineStr">
        <is>
          <t>Finance cost</t>
        </is>
      </c>
      <c r="C13" s="11" t="n">
        <v>34403667</v>
      </c>
      <c r="D13" s="11">
        <f>C13*(1+Assumptions!$C$6)</f>
        <v/>
      </c>
      <c r="E13" s="12">
        <f>IFERROR(D13/C13-1,"")</f>
        <v/>
      </c>
      <c r="F13" s="13" t="inlineStr">
        <is>
          <t>+10% — prudence</t>
        </is>
      </c>
    </row>
    <row r="14">
      <c r="A14" s="9" t="inlineStr"/>
      <c r="B14" s="10" t="inlineStr">
        <is>
          <t>Depreciation and amortization expense</t>
        </is>
      </c>
      <c r="C14" s="11" t="n">
        <v>26150367</v>
      </c>
      <c r="D14" s="11">
        <f>C14*(1+Assumptions!$C$6)</f>
        <v/>
      </c>
      <c r="E14" s="12">
        <f>IFERROR(D14/C14-1,"")</f>
        <v/>
      </c>
      <c r="F14" s="13" t="inlineStr">
        <is>
          <t>+10% — prudence</t>
        </is>
      </c>
    </row>
    <row r="15">
      <c r="A15" s="9" t="inlineStr"/>
      <c r="B15" s="10" t="inlineStr">
        <is>
          <t>Other expenses</t>
        </is>
      </c>
      <c r="C15" s="11" t="n">
        <v>433672461.96</v>
      </c>
      <c r="D15" s="11">
        <f>C15*(1+Assumptions!$C$6)</f>
        <v/>
      </c>
      <c r="E15" s="12">
        <f>IFERROR(D15/C15-1,"")</f>
        <v/>
      </c>
      <c r="F15" s="13" t="inlineStr">
        <is>
          <t>Proportionate +10%</t>
        </is>
      </c>
    </row>
    <row r="16">
      <c r="A16" s="14" t="inlineStr"/>
      <c r="B16" s="15" t="inlineStr">
        <is>
          <t>Total expenses</t>
        </is>
      </c>
      <c r="C16" s="16">
        <f>SUM(C10:C15)</f>
        <v/>
      </c>
      <c r="D16" s="16">
        <f>SUM(D10:D15)</f>
        <v/>
      </c>
      <c r="E16" s="17">
        <f>D16/C16-1</f>
        <v/>
      </c>
      <c r="F16" s="18" t="inlineStr"/>
    </row>
    <row r="17">
      <c r="A17" s="19" t="inlineStr">
        <is>
          <t>V</t>
        </is>
      </c>
      <c r="B17" s="20" t="inlineStr">
        <is>
          <t>Profit Before Tax (III-IV)</t>
        </is>
      </c>
      <c r="C17" s="21">
        <f>C8-C16</f>
        <v/>
      </c>
      <c r="D17" s="21">
        <f>D8-D16</f>
        <v/>
      </c>
      <c r="E17" s="22">
        <f>D17/C17-1</f>
        <v/>
      </c>
      <c r="F17" s="23" t="inlineStr"/>
    </row>
    <row r="18">
      <c r="A18" s="9" t="inlineStr">
        <is>
          <t>VI</t>
        </is>
      </c>
      <c r="B18" s="10" t="inlineStr">
        <is>
          <t>Tax expense — current tax @ 25.168%</t>
        </is>
      </c>
      <c r="C18" s="11" t="n">
        <v>-29662103</v>
      </c>
      <c r="D18" s="11">
        <f>ROUND(D17*Assumptions!$C$14,0)</f>
        <v/>
      </c>
      <c r="E18" s="12">
        <f>IFERROR(D18/C18-1,"")</f>
        <v/>
      </c>
      <c r="F18" s="13" t="inlineStr">
        <is>
          <t>Full provision, s.115BAA; FY26 had prior-year tax reversal (credit) — not assumed to recur</t>
        </is>
      </c>
    </row>
    <row r="19">
      <c r="A19" s="14" t="inlineStr">
        <is>
          <t>VII</t>
        </is>
      </c>
      <c r="B19" s="15" t="inlineStr">
        <is>
          <t>Profit After Tax (V-VI)</t>
        </is>
      </c>
      <c r="C19" s="16" t="n">
        <v>170784345.44</v>
      </c>
      <c r="D19" s="16">
        <f>D17-D18</f>
        <v/>
      </c>
      <c r="E19" s="17">
        <f>D19/C19-1</f>
        <v/>
      </c>
      <c r="F19" s="18" t="inlineStr">
        <is>
          <t>Retained in full — no dividend</t>
        </is>
      </c>
    </row>
    <row r="21">
      <c r="A21" s="9" t="inlineStr"/>
      <c r="B21" s="10" t="inlineStr">
        <is>
          <t>PBT margin</t>
        </is>
      </c>
      <c r="C21" s="12">
        <f>C17/C6</f>
        <v/>
      </c>
      <c r="D21" s="12">
        <f>D17/D6</f>
        <v/>
      </c>
      <c r="E21" s="9" t="n"/>
      <c r="F21" s="13" t="inlineStr"/>
    </row>
    <row r="22">
      <c r="A22" s="9" t="inlineStr"/>
      <c r="B22" s="10" t="inlineStr">
        <is>
          <t>PAT margin</t>
        </is>
      </c>
      <c r="C22" s="12">
        <f>C19/C6</f>
        <v/>
      </c>
      <c r="D22" s="12">
        <f>D19/D6</f>
        <v/>
      </c>
      <c r="E22" s="9" t="n"/>
      <c r="F22" s="13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9" customWidth="1" min="5" max="5"/>
    <col width="42" customWidth="1" min="6" max="6"/>
  </cols>
  <sheetData>
    <row r="1">
      <c r="A1" s="1" t="inlineStr">
        <is>
          <t>IMPRESSIONS SERVICES PRIVATE LIMITED</t>
        </is>
      </c>
    </row>
    <row r="2">
      <c r="A2" s="2" t="inlineStr">
        <is>
          <t>PROJECTED BALANCE SHEET AS AT MARCH 31, 2027</t>
        </is>
      </c>
    </row>
    <row r="3">
      <c r="A3" s="3" t="inlineStr">
        <is>
          <t>CIN: U74930DL2002PTC114966   |   Base: BS_TB 2025-26 CONSOLIDATED Set 2   |   Amount in INR</t>
        </is>
      </c>
    </row>
    <row r="5">
      <c r="A5" s="8" t="inlineStr"/>
      <c r="B5" s="8" t="inlineStr">
        <is>
          <t>Particulars</t>
        </is>
      </c>
      <c r="C5" s="8" t="inlineStr">
        <is>
          <t>FY 2025-26 (Base)</t>
        </is>
      </c>
      <c r="D5" s="8" t="inlineStr">
        <is>
          <t>FY 2026-27 (Projected)</t>
        </is>
      </c>
      <c r="E5" s="8" t="inlineStr">
        <is>
          <t>Change</t>
        </is>
      </c>
      <c r="F5" s="8" t="inlineStr">
        <is>
          <t>Basis</t>
        </is>
      </c>
    </row>
    <row r="6">
      <c r="A6" s="19" t="inlineStr">
        <is>
          <t>I.</t>
        </is>
      </c>
      <c r="B6" s="20" t="inlineStr">
        <is>
          <t>EQUITY AND LIABILITIES</t>
        </is>
      </c>
      <c r="C6" s="19" t="n"/>
      <c r="D6" s="19" t="n"/>
      <c r="E6" s="19" t="n"/>
      <c r="F6" s="23" t="inlineStr"/>
    </row>
    <row r="7">
      <c r="A7" s="9" t="inlineStr">
        <is>
          <t>(1)</t>
        </is>
      </c>
      <c r="B7" s="10" t="inlineStr">
        <is>
          <t>Shareholders’ Funds</t>
        </is>
      </c>
      <c r="C7" s="9" t="n"/>
      <c r="D7" s="9" t="n"/>
      <c r="E7" s="9" t="n"/>
      <c r="F7" s="13" t="inlineStr"/>
    </row>
    <row r="8">
      <c r="A8" s="9" t="inlineStr">
        <is>
          <t>(a)</t>
        </is>
      </c>
      <c r="B8" s="10" t="inlineStr">
        <is>
          <t>Share capital</t>
        </is>
      </c>
      <c r="C8" s="11" t="n">
        <v>200000</v>
      </c>
      <c r="D8" s="11">
        <f>C8</f>
        <v/>
      </c>
      <c r="E8" s="12">
        <f>IFERROR(D8/C8-1,"")</f>
        <v/>
      </c>
      <c r="F8" s="13" t="inlineStr">
        <is>
          <t>Constant</t>
        </is>
      </c>
    </row>
    <row r="9">
      <c r="A9" s="9" t="inlineStr">
        <is>
          <t>(b)</t>
        </is>
      </c>
      <c r="B9" s="10" t="inlineStr">
        <is>
          <t>Reserves and Surplus</t>
        </is>
      </c>
      <c r="C9" s="11" t="n">
        <v>1458115248.22</v>
      </c>
      <c r="D9" s="11">
        <f>C9+'Projected P&amp;L FY27'!D19</f>
        <v/>
      </c>
      <c r="E9" s="12">
        <f>IFERROR(D9/C9-1,"")</f>
        <v/>
      </c>
      <c r="F9" s="13" t="inlineStr">
        <is>
          <t>Opening + projected PAT (nil dividend)</t>
        </is>
      </c>
    </row>
    <row r="10">
      <c r="A10" s="9" t="inlineStr"/>
      <c r="B10" s="10" t="inlineStr">
        <is>
          <t>Interunit</t>
        </is>
      </c>
      <c r="C10" s="11" t="n">
        <v>15721313.81</v>
      </c>
      <c r="D10" s="11">
        <f>C10</f>
        <v/>
      </c>
      <c r="E10" s="12">
        <f>IFERROR(D10/C10-1,"")</f>
        <v/>
      </c>
      <c r="F10" s="13" t="inlineStr">
        <is>
          <t>Held constant</t>
        </is>
      </c>
    </row>
    <row r="11">
      <c r="A11" s="14" t="inlineStr"/>
      <c r="B11" s="15" t="inlineStr">
        <is>
          <t>Sub-total — Shareholders’ funds</t>
        </is>
      </c>
      <c r="C11" s="16">
        <f>SUM(C8:C10)</f>
        <v/>
      </c>
      <c r="D11" s="16">
        <f>SUM(D8:D10)</f>
        <v/>
      </c>
      <c r="E11" s="14" t="n"/>
      <c r="F11" s="18" t="inlineStr"/>
    </row>
    <row r="12">
      <c r="A12" s="9" t="inlineStr">
        <is>
          <t>(2)</t>
        </is>
      </c>
      <c r="B12" s="10" t="inlineStr">
        <is>
          <t>Non-current liabilities</t>
        </is>
      </c>
      <c r="C12" s="9" t="n"/>
      <c r="D12" s="9" t="n"/>
      <c r="E12" s="9" t="n"/>
      <c r="F12" s="13" t="inlineStr"/>
    </row>
    <row r="13">
      <c r="A13" s="9" t="inlineStr">
        <is>
          <t>(a)</t>
        </is>
      </c>
      <c r="B13" s="10" t="inlineStr">
        <is>
          <t>Long-term borrowings</t>
        </is>
      </c>
      <c r="C13" s="11" t="n">
        <v>89963690.64</v>
      </c>
      <c r="D13" s="11">
        <f>C13</f>
        <v/>
      </c>
      <c r="E13" s="12">
        <f>IFERROR(D13/C13-1,"")</f>
        <v/>
      </c>
      <c r="F13" s="13" t="inlineStr">
        <is>
          <t>Held at FY26 level — prudence</t>
        </is>
      </c>
    </row>
    <row r="14">
      <c r="A14" s="9" t="inlineStr">
        <is>
          <t>(b)</t>
        </is>
      </c>
      <c r="B14" s="10" t="inlineStr">
        <is>
          <t>Long-term provisions (gratuity)</t>
        </is>
      </c>
      <c r="C14" s="11" t="n">
        <v>94505792</v>
      </c>
      <c r="D14" s="11">
        <f>C14*(1+Assumptions!$C$6)</f>
        <v/>
      </c>
      <c r="E14" s="12">
        <f>IFERROR(D14/C14-1,"")</f>
        <v/>
      </c>
      <c r="F14" s="13" t="inlineStr">
        <is>
          <t>Grows with employee cost +10%</t>
        </is>
      </c>
    </row>
    <row r="15">
      <c r="A15" s="14" t="inlineStr"/>
      <c r="B15" s="15" t="inlineStr">
        <is>
          <t>Sub-total — Non-current liabilities</t>
        </is>
      </c>
      <c r="C15" s="16">
        <f>SUM(C13:C14)</f>
        <v/>
      </c>
      <c r="D15" s="16">
        <f>SUM(D13:D14)</f>
        <v/>
      </c>
      <c r="E15" s="14" t="n"/>
      <c r="F15" s="18" t="inlineStr"/>
    </row>
    <row r="16">
      <c r="A16" s="9" t="inlineStr">
        <is>
          <t>(3)</t>
        </is>
      </c>
      <c r="B16" s="10" t="inlineStr">
        <is>
          <t>Current liabilities</t>
        </is>
      </c>
      <c r="C16" s="9" t="n"/>
      <c r="D16" s="9" t="n"/>
      <c r="E16" s="9" t="n"/>
      <c r="F16" s="13" t="inlineStr"/>
    </row>
    <row r="17">
      <c r="A17" s="9" t="inlineStr">
        <is>
          <t>(a)</t>
        </is>
      </c>
      <c r="B17" s="10" t="inlineStr">
        <is>
          <t>Short-term borrowings</t>
        </is>
      </c>
      <c r="C17" s="11" t="n">
        <v>348135361.67</v>
      </c>
      <c r="D17" s="11">
        <f>C17</f>
        <v/>
      </c>
      <c r="E17" s="12">
        <f>IFERROR(D17/C17-1,"")</f>
        <v/>
      </c>
      <c r="F17" s="13" t="inlineStr">
        <is>
          <t>Held at FY26 level — prudence</t>
        </is>
      </c>
    </row>
    <row r="18">
      <c r="A18" s="9" t="inlineStr">
        <is>
          <t>(b)</t>
        </is>
      </c>
      <c r="B18" s="10" t="inlineStr">
        <is>
          <t>Trade payables — MSME</t>
        </is>
      </c>
      <c r="C18" s="11" t="n">
        <v>0</v>
      </c>
      <c r="D18" s="11" t="n">
        <v>0</v>
      </c>
      <c r="E18" s="9" t="n"/>
      <c r="F18" s="13" t="inlineStr"/>
    </row>
    <row r="19">
      <c r="A19" s="9" t="inlineStr"/>
      <c r="B19" s="10" t="inlineStr">
        <is>
          <t>Trade payables — others</t>
        </is>
      </c>
      <c r="C19" s="11" t="n">
        <v>72303716.06999999</v>
      </c>
      <c r="D19" s="11">
        <f>C19*(1+Assumptions!$C$6)</f>
        <v/>
      </c>
      <c r="E19" s="12">
        <f>IFERROR(D19/C19-1,"")</f>
        <v/>
      </c>
      <c r="F19" s="13" t="inlineStr">
        <is>
          <t>Scales with sales +10%</t>
        </is>
      </c>
    </row>
    <row r="20">
      <c r="A20" s="9" t="inlineStr">
        <is>
          <t>(c)</t>
        </is>
      </c>
      <c r="B20" s="10" t="inlineStr">
        <is>
          <t>Other current liabilities</t>
        </is>
      </c>
      <c r="C20" s="11" t="n">
        <v>495509114.47</v>
      </c>
      <c r="D20" s="11">
        <f>C20*(1+Assumptions!$C$6)</f>
        <v/>
      </c>
      <c r="E20" s="12">
        <f>IFERROR(D20/C20-1,"")</f>
        <v/>
      </c>
      <c r="F20" s="13" t="inlineStr">
        <is>
          <t>Scales with sales +10%</t>
        </is>
      </c>
    </row>
    <row r="21">
      <c r="A21" s="9" t="inlineStr">
        <is>
          <t>(d)</t>
        </is>
      </c>
      <c r="B21" s="10" t="inlineStr">
        <is>
          <t>Short-term provisions</t>
        </is>
      </c>
      <c r="C21" s="11" t="n">
        <v>20273486.75</v>
      </c>
      <c r="D21" s="11">
        <f>C21*(1+Assumptions!$C$6)</f>
        <v/>
      </c>
      <c r="E21" s="12">
        <f>IFERROR(D21/C21-1,"")</f>
        <v/>
      </c>
      <c r="F21" s="13" t="inlineStr">
        <is>
          <t>Scales with sales +10%</t>
        </is>
      </c>
    </row>
    <row r="22">
      <c r="A22" s="14" t="inlineStr"/>
      <c r="B22" s="15" t="inlineStr">
        <is>
          <t>Sub-total — Current liabilities</t>
        </is>
      </c>
      <c r="C22" s="16">
        <f>SUM(C17:C21)</f>
        <v/>
      </c>
      <c r="D22" s="16">
        <f>SUM(D17:D21)</f>
        <v/>
      </c>
      <c r="E22" s="14" t="n"/>
      <c r="F22" s="18" t="inlineStr"/>
    </row>
    <row r="23">
      <c r="A23" s="24" t="inlineStr"/>
      <c r="B23" s="25" t="inlineStr">
        <is>
          <t>TOTAL — EQUITY AND LIABILITIES</t>
        </is>
      </c>
      <c r="C23" s="26">
        <f>C11+C15+C22</f>
        <v/>
      </c>
      <c r="D23" s="26">
        <f>D11+D15+D22</f>
        <v/>
      </c>
      <c r="E23" s="24" t="n"/>
      <c r="F23" s="27" t="inlineStr"/>
    </row>
    <row r="25">
      <c r="A25" s="19" t="inlineStr">
        <is>
          <t>II.</t>
        </is>
      </c>
      <c r="B25" s="20" t="inlineStr">
        <is>
          <t>ASSETS</t>
        </is>
      </c>
      <c r="C25" s="19" t="n"/>
      <c r="D25" s="19" t="n"/>
      <c r="E25" s="19" t="n"/>
      <c r="F25" s="23" t="inlineStr"/>
    </row>
    <row r="26">
      <c r="A26" s="9" t="inlineStr">
        <is>
          <t>(1)</t>
        </is>
      </c>
      <c r="B26" s="10" t="inlineStr">
        <is>
          <t>Non-current assets</t>
        </is>
      </c>
      <c r="C26" s="9" t="n"/>
      <c r="D26" s="9" t="n"/>
      <c r="E26" s="9" t="n"/>
      <c r="F26" s="13" t="inlineStr"/>
    </row>
    <row r="27">
      <c r="A27" s="9" t="inlineStr">
        <is>
          <t>(a)</t>
        </is>
      </c>
      <c r="B27" s="10" t="inlineStr">
        <is>
          <t>Property, plant &amp; equipment (net)</t>
        </is>
      </c>
      <c r="C27" s="11" t="n">
        <v>186880905.31</v>
      </c>
      <c r="D27" s="11">
        <f>C27</f>
        <v/>
      </c>
      <c r="E27" s="12">
        <f>IFERROR(D27/C27-1,"")</f>
        <v/>
      </c>
      <c r="F27" s="13" t="inlineStr">
        <is>
          <t>Capex ≈ depreciation, net block flat</t>
        </is>
      </c>
    </row>
    <row r="28">
      <c r="A28" s="9" t="inlineStr">
        <is>
          <t>(b)</t>
        </is>
      </c>
      <c r="B28" s="10" t="inlineStr">
        <is>
          <t>Non-current investments</t>
        </is>
      </c>
      <c r="C28" s="11" t="n">
        <v>157195317</v>
      </c>
      <c r="D28" s="11">
        <f>C28</f>
        <v/>
      </c>
      <c r="E28" s="12">
        <f>IFERROR(D28/C28-1,"")</f>
        <v/>
      </c>
      <c r="F28" s="13" t="inlineStr">
        <is>
          <t>Held constant</t>
        </is>
      </c>
    </row>
    <row r="29">
      <c r="A29" s="9" t="inlineStr">
        <is>
          <t>(c)</t>
        </is>
      </c>
      <c r="B29" s="10" t="inlineStr">
        <is>
          <t>Deferred tax assets (net)</t>
        </is>
      </c>
      <c r="C29" s="11" t="n">
        <v>29044756</v>
      </c>
      <c r="D29" s="11">
        <f>C29</f>
        <v/>
      </c>
      <c r="E29" s="12">
        <f>IFERROR(D29/C29-1,"")</f>
        <v/>
      </c>
      <c r="F29" s="13" t="inlineStr">
        <is>
          <t>Held constant — prudence (no further DTA built up)</t>
        </is>
      </c>
    </row>
    <row r="30">
      <c r="A30" s="9" t="inlineStr">
        <is>
          <t>(d)</t>
        </is>
      </c>
      <c r="B30" s="10" t="inlineStr">
        <is>
          <t>Long-term loans and advances</t>
        </is>
      </c>
      <c r="C30" s="11" t="n">
        <v>86514244.73999999</v>
      </c>
      <c r="D30" s="11">
        <f>C30</f>
        <v/>
      </c>
      <c r="E30" s="12">
        <f>IFERROR(D30/C30-1,"")</f>
        <v/>
      </c>
      <c r="F30" s="13" t="inlineStr">
        <is>
          <t>Held constant</t>
        </is>
      </c>
    </row>
    <row r="31">
      <c r="A31" s="14" t="inlineStr"/>
      <c r="B31" s="15" t="inlineStr">
        <is>
          <t>Sub-total — Non-current assets</t>
        </is>
      </c>
      <c r="C31" s="16">
        <f>SUM(C27:C30)</f>
        <v/>
      </c>
      <c r="D31" s="16">
        <f>SUM(D27:D30)</f>
        <v/>
      </c>
      <c r="E31" s="14" t="n"/>
      <c r="F31" s="18" t="inlineStr"/>
    </row>
    <row r="32">
      <c r="A32" s="9" t="inlineStr">
        <is>
          <t>(2)</t>
        </is>
      </c>
      <c r="B32" s="10" t="inlineStr">
        <is>
          <t>Current assets</t>
        </is>
      </c>
      <c r="C32" s="9" t="n"/>
      <c r="D32" s="9" t="n"/>
      <c r="E32" s="9" t="n"/>
      <c r="F32" s="13" t="inlineStr"/>
    </row>
    <row r="33">
      <c r="A33" s="9" t="inlineStr">
        <is>
          <t>(a)</t>
        </is>
      </c>
      <c r="B33" s="10" t="inlineStr">
        <is>
          <t>Inventories</t>
        </is>
      </c>
      <c r="C33" s="11" t="n">
        <v>4636862</v>
      </c>
      <c r="D33" s="11">
        <f>C33*(1+Assumptions!$C$6)</f>
        <v/>
      </c>
      <c r="E33" s="12">
        <f>IFERROR(D33/C33-1,"")</f>
        <v/>
      </c>
      <c r="F33" s="13" t="inlineStr">
        <is>
          <t>Scales with sales +10%</t>
        </is>
      </c>
    </row>
    <row r="34">
      <c r="A34" s="9" t="inlineStr">
        <is>
          <t>(b)</t>
        </is>
      </c>
      <c r="B34" s="10" t="inlineStr">
        <is>
          <t>Trade receivables</t>
        </is>
      </c>
      <c r="C34" s="11" t="n">
        <v>1665625897.28</v>
      </c>
      <c r="D34" s="11">
        <f>C34*(1+Assumptions!$C$6)</f>
        <v/>
      </c>
      <c r="E34" s="12">
        <f>IFERROR(D34/C34-1,"")</f>
        <v/>
      </c>
      <c r="F34" s="13" t="inlineStr">
        <is>
          <t>Scales with sales +10% (same collection cycle)</t>
        </is>
      </c>
    </row>
    <row r="35">
      <c r="A35" s="9" t="inlineStr">
        <is>
          <t>(c)</t>
        </is>
      </c>
      <c r="B35" s="10" t="inlineStr">
        <is>
          <t>Short-term loans and advances</t>
        </is>
      </c>
      <c r="C35" s="11" t="n">
        <v>393603021</v>
      </c>
      <c r="D35" s="11">
        <f>C35*(1+Assumptions!$C$6)</f>
        <v/>
      </c>
      <c r="E35" s="12">
        <f>IFERROR(D35/C35-1,"")</f>
        <v/>
      </c>
      <c r="F35" s="13" t="inlineStr">
        <is>
          <t>Scales with sales +10%</t>
        </is>
      </c>
    </row>
    <row r="36">
      <c r="A36" s="9" t="inlineStr">
        <is>
          <t>(d)</t>
        </is>
      </c>
      <c r="B36" s="10" t="inlineStr">
        <is>
          <t>Other current assets</t>
        </is>
      </c>
      <c r="C36" s="11" t="n">
        <v>23144280.66</v>
      </c>
      <c r="D36" s="11">
        <f>C36*(1+Assumptions!$C$6)</f>
        <v/>
      </c>
      <c r="E36" s="12">
        <f>IFERROR(D36/C36-1,"")</f>
        <v/>
      </c>
      <c r="F36" s="13" t="inlineStr">
        <is>
          <t>Scales with sales +10%</t>
        </is>
      </c>
    </row>
    <row r="37">
      <c r="A37" s="9" t="inlineStr">
        <is>
          <t>(e)</t>
        </is>
      </c>
      <c r="B37" s="10" t="inlineStr">
        <is>
          <t>Cash and cash equivalents</t>
        </is>
      </c>
      <c r="C37" s="11" t="n">
        <v>48082440</v>
      </c>
      <c r="D37" s="11">
        <f>D23-SUM(D27:D30)-SUM(D33:D36)</f>
        <v/>
      </c>
      <c r="E37" s="12">
        <f>D37/C37-1</f>
        <v/>
      </c>
      <c r="F37" s="13" t="inlineStr">
        <is>
          <t>Balancing figure</t>
        </is>
      </c>
    </row>
    <row r="38">
      <c r="A38" s="14" t="inlineStr"/>
      <c r="B38" s="15" t="inlineStr">
        <is>
          <t>Sub-total — Current assets</t>
        </is>
      </c>
      <c r="C38" s="16">
        <f>SUM(C33:C37)</f>
        <v/>
      </c>
      <c r="D38" s="16">
        <f>SUM(D33:D37)</f>
        <v/>
      </c>
      <c r="E38" s="14" t="n"/>
      <c r="F38" s="18" t="inlineStr"/>
    </row>
    <row r="39">
      <c r="A39" s="24" t="inlineStr"/>
      <c r="B39" s="25" t="inlineStr">
        <is>
          <t>TOTAL — ASSETS</t>
        </is>
      </c>
      <c r="C39" s="26">
        <f>C31+C38</f>
        <v/>
      </c>
      <c r="D39" s="26">
        <f>D31+D38</f>
        <v/>
      </c>
      <c r="E39" s="24" t="n"/>
      <c r="F39" s="27" t="inlineStr"/>
    </row>
    <row r="41">
      <c r="B41" s="7" t="inlineStr">
        <is>
          <t>Check: Total assets less total equity &amp; liabilities</t>
        </is>
      </c>
      <c r="D41" s="28">
        <f>D39-D23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0" customWidth="1" min="4" max="4"/>
  </cols>
  <sheetData>
    <row r="1">
      <c r="A1" s="1" t="inlineStr">
        <is>
          <t>IMPRESSIONS SERVICES PRIVATE LIMITED</t>
        </is>
      </c>
    </row>
    <row r="2">
      <c r="A2" s="2" t="inlineStr">
        <is>
          <t>PROJECTION SUMMARY — FY 2026-27 vs FY 2025-26 (₹ Crore)</t>
        </is>
      </c>
    </row>
    <row r="3">
      <c r="A3" s="3" t="inlineStr">
        <is>
          <t>CIN: U74930DL2002PTC114966   |   Base: BS_TB 2025-26 CONSOLIDATED Set 2   |   Amount in INR</t>
        </is>
      </c>
    </row>
    <row r="5">
      <c r="A5" s="29" t="inlineStr">
        <is>
          <t>Metric</t>
        </is>
      </c>
      <c r="B5" s="29" t="inlineStr">
        <is>
          <t>FY 2025-26</t>
        </is>
      </c>
      <c r="C5" s="29" t="inlineStr">
        <is>
          <t>FY 2026-27 (Proj)</t>
        </is>
      </c>
      <c r="D5" s="29" t="inlineStr">
        <is>
          <t>Change</t>
        </is>
      </c>
    </row>
    <row r="6">
      <c r="A6" s="9" t="inlineStr">
        <is>
          <t>Revenue from operations</t>
        </is>
      </c>
      <c r="B6" s="30">
        <f>'Projected P&amp;L FY27'!C6</f>
        <v/>
      </c>
      <c r="C6" s="30">
        <f>'Projected P&amp;L FY27'!D6</f>
        <v/>
      </c>
      <c r="D6" s="12">
        <f>IFERROR(C6/B6-1,"")</f>
        <v/>
      </c>
    </row>
    <row r="7">
      <c r="A7" s="9" t="inlineStr">
        <is>
          <t>Total expenses</t>
        </is>
      </c>
      <c r="B7" s="30">
        <f>'Projected P&amp;L FY27'!C16</f>
        <v/>
      </c>
      <c r="C7" s="30">
        <f>'Projected P&amp;L FY27'!D16</f>
        <v/>
      </c>
      <c r="D7" s="12">
        <f>IFERROR(C7/B7-1,"")</f>
        <v/>
      </c>
    </row>
    <row r="8">
      <c r="A8" s="9" t="inlineStr">
        <is>
          <t>Profit before tax</t>
        </is>
      </c>
      <c r="B8" s="30">
        <f>'Projected P&amp;L FY27'!C17</f>
        <v/>
      </c>
      <c r="C8" s="30">
        <f>'Projected P&amp;L FY27'!D17</f>
        <v/>
      </c>
      <c r="D8" s="12">
        <f>IFERROR(C8/B8-1,"")</f>
        <v/>
      </c>
    </row>
    <row r="9">
      <c r="A9" s="9" t="inlineStr">
        <is>
          <t>Profit after tax</t>
        </is>
      </c>
      <c r="B9" s="30">
        <f>'Projected P&amp;L FY27'!C19</f>
        <v/>
      </c>
      <c r="C9" s="30">
        <f>'Projected P&amp;L FY27'!D19</f>
        <v/>
      </c>
      <c r="D9" s="12">
        <f>IFERROR(C9/B9-1,"")</f>
        <v/>
      </c>
    </row>
    <row r="10">
      <c r="A10" s="9" t="inlineStr">
        <is>
          <t>Net worth (incl. interunit)</t>
        </is>
      </c>
      <c r="B10" s="30">
        <f>'Projected BS FY27'!C11</f>
        <v/>
      </c>
      <c r="C10" s="30">
        <f>'Projected BS FY27'!D11</f>
        <v/>
      </c>
      <c r="D10" s="12">
        <f>IFERROR(C10/B10-1,"")</f>
        <v/>
      </c>
    </row>
    <row r="11">
      <c r="A11" s="9" t="inlineStr">
        <is>
          <t>Total borrowings (LT+ST)</t>
        </is>
      </c>
      <c r="B11" s="30">
        <f>'Projected BS FY27'!C13+'Projected BS FY27'!C17</f>
        <v/>
      </c>
      <c r="C11" s="30">
        <f>'Projected BS FY27'!D13+'Projected BS FY27'!D17</f>
        <v/>
      </c>
      <c r="D11" s="12">
        <f>IFERROR(C11/B11-1,"")</f>
        <v/>
      </c>
    </row>
    <row r="12">
      <c r="A12" s="9" t="inlineStr">
        <is>
          <t>Trade receivables</t>
        </is>
      </c>
      <c r="B12" s="30">
        <f>'Projected BS FY27'!C34</f>
        <v/>
      </c>
      <c r="C12" s="30">
        <f>'Projected BS FY27'!D34</f>
        <v/>
      </c>
      <c r="D12" s="12">
        <f>IFERROR(C12/B12-1,"")</f>
        <v/>
      </c>
    </row>
    <row r="13">
      <c r="A13" s="9" t="inlineStr">
        <is>
          <t>Cash &amp; cash equivalents</t>
        </is>
      </c>
      <c r="B13" s="30">
        <f>'Projected BS FY27'!C37</f>
        <v/>
      </c>
      <c r="C13" s="30">
        <f>'Projected BS FY27'!D37</f>
        <v/>
      </c>
      <c r="D13" s="12">
        <f>IFERROR(C13/B13-1,"")</f>
        <v/>
      </c>
    </row>
    <row r="14">
      <c r="A14" s="9" t="inlineStr">
        <is>
          <t>Balance sheet total</t>
        </is>
      </c>
      <c r="B14" s="30">
        <f>'Projected BS FY27'!C39</f>
        <v/>
      </c>
      <c r="C14" s="30">
        <f>'Projected BS FY27'!D39</f>
        <v/>
      </c>
      <c r="D14" s="12">
        <f>IFERROR(C14/B14-1,"")</f>
        <v/>
      </c>
    </row>
    <row r="15">
      <c r="A15" s="9" t="inlineStr">
        <is>
          <t>Working capital (CA − CL)</t>
        </is>
      </c>
      <c r="B15" s="30">
        <f>'Projected BS FY27'!C38-'Projected BS FY27'!C22</f>
        <v/>
      </c>
      <c r="C15" s="30">
        <f>'Projected BS FY27'!D38-'Projected BS FY27'!D22</f>
        <v/>
      </c>
      <c r="D15" s="12">
        <f>IFERROR(C15/B15-1,"")</f>
        <v/>
      </c>
    </row>
    <row r="17">
      <c r="A17" s="31" t="inlineStr">
        <is>
          <t>Key ratios</t>
        </is>
      </c>
    </row>
    <row r="18">
      <c r="A18" s="9" t="inlineStr">
        <is>
          <t>PBT margin %</t>
        </is>
      </c>
      <c r="B18" s="32">
        <f>'Projected P&amp;L FY27'!C17/'Projected P&amp;L FY27'!C6*100</f>
        <v/>
      </c>
      <c r="C18" s="32">
        <f>'Projected P&amp;L FY27'!D17/'Projected P&amp;L FY27'!D6*100</f>
        <v/>
      </c>
      <c r="D18" s="32">
        <f>C18-B18</f>
        <v/>
      </c>
    </row>
    <row r="19">
      <c r="A19" s="9" t="inlineStr">
        <is>
          <t>PAT margin %</t>
        </is>
      </c>
      <c r="B19" s="32">
        <f>'Projected P&amp;L FY27'!C19/'Projected P&amp;L FY27'!C6*100</f>
        <v/>
      </c>
      <c r="C19" s="32">
        <f>'Projected P&amp;L FY27'!D19/'Projected P&amp;L FY27'!D6*100</f>
        <v/>
      </c>
      <c r="D19" s="32">
        <f>C19-B19</f>
        <v/>
      </c>
    </row>
    <row r="20">
      <c r="A20" s="9" t="inlineStr">
        <is>
          <t>Current ratio (x)</t>
        </is>
      </c>
      <c r="B20" s="32">
        <f>'Projected BS FY27'!C38/'Projected BS FY27'!C22</f>
        <v/>
      </c>
      <c r="C20" s="32">
        <f>'Projected BS FY27'!D38/'Projected BS FY27'!D22</f>
        <v/>
      </c>
      <c r="D20" s="32">
        <f>C20-B20</f>
        <v/>
      </c>
    </row>
    <row r="21">
      <c r="A21" s="9" t="inlineStr">
        <is>
          <t>Debt / equity (x)</t>
        </is>
      </c>
      <c r="B21" s="32">
        <f>('Projected BS FY27'!C13+'Projected BS FY27'!C17)/'Projected BS FY27'!C11</f>
        <v/>
      </c>
      <c r="C21" s="32">
        <f>('Projected BS FY27'!D13+'Projected BS FY27'!D17)/'Projected BS FY27'!D11</f>
        <v/>
      </c>
      <c r="D21" s="32">
        <f>C21-B21</f>
        <v/>
      </c>
    </row>
    <row r="22">
      <c r="A22" s="9" t="inlineStr">
        <is>
          <t>Debtor days (on closing TR)</t>
        </is>
      </c>
      <c r="B22" s="32">
        <f>'Projected BS FY27'!C34/'Projected P&amp;L FY27'!C6*365</f>
        <v/>
      </c>
      <c r="C22" s="32">
        <f>'Projected BS FY27'!D34/'Projected P&amp;L FY27'!D6*365</f>
        <v/>
      </c>
      <c r="D22" s="32">
        <f>C22-B22</f>
        <v/>
      </c>
    </row>
    <row r="23">
      <c r="A23" s="9" t="inlineStr">
        <is>
          <t>Return on net worth %</t>
        </is>
      </c>
      <c r="B23" s="32">
        <f>'Projected P&amp;L FY27'!C19/'Projected BS FY27'!C11*100</f>
        <v/>
      </c>
      <c r="C23" s="32">
        <f>'Projected P&amp;L FY27'!D19/'Projected BS FY27'!D11*100</f>
        <v/>
      </c>
      <c r="D23" s="32">
        <f>C23-B23</f>
        <v/>
      </c>
    </row>
    <row r="25" ht="14" customHeight="1">
      <c r="A25" s="33" t="inlineStr">
        <is>
          <t>Prudence notes:</t>
        </is>
      </c>
    </row>
    <row r="26" ht="14" customHeight="1">
      <c r="A26" s="34" t="inlineStr">
        <is>
          <t>1. Other income NOT grown — held at FY 2025-26 level.</t>
        </is>
      </c>
    </row>
    <row r="27" ht="26" customHeight="1">
      <c r="A27" s="34" t="inlineStr">
        <is>
          <t>2. FY 2025-26 PAT (₹17.08 Cr) includes a prior-year current-tax reversal of ₹2.97 Cr; the projection assumes NO such credit and provides full tax at 25.168%, so projected PAT growth appears muted vs the reported base.</t>
        </is>
      </c>
    </row>
    <row r="28" ht="14" customHeight="1">
      <c r="A28" s="34" t="inlineStr">
        <is>
          <t>3. Inventory change taken as nil; no stock-appreciation gain assumed.</t>
        </is>
      </c>
    </row>
    <row r="29" ht="26" customHeight="1">
      <c r="A29" s="34" t="inlineStr">
        <is>
          <t>4. Borrowings held at FY26 levels — incremental working capital is funded from internal accruals; cash is the balancing figure.</t>
        </is>
      </c>
    </row>
    <row r="30" ht="14" customHeight="1">
      <c r="A30" s="34" t="inlineStr">
        <is>
          <t>5. Entire PAT retained; no dividend assumed.</t>
        </is>
      </c>
    </row>
    <row r="31" ht="14" customHeight="1">
      <c r="A31" s="34" t="inlineStr">
        <is>
          <t>6. Gratuity (long-term provision) grown in line with employee cost.</t>
        </is>
      </c>
    </row>
  </sheetData>
  <mergeCells count="10">
    <mergeCell ref="A1:D1"/>
    <mergeCell ref="A27:D27"/>
    <mergeCell ref="A31:D31"/>
    <mergeCell ref="A3:D3"/>
    <mergeCell ref="A26:D26"/>
    <mergeCell ref="A30:D30"/>
    <mergeCell ref="A29:D29"/>
    <mergeCell ref="A25:D25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2026-07-03T13:33:16Z</dcterms:created>
  <dcterms:modified xsi:type="dcterms:W3CDTF">2026-07-03T13:33:16Z</dcterms:modified>
</cp:coreProperties>
</file>