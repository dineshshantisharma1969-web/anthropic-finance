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2E5496"/>
      <sz val="11"/>
    </font>
    <font>
      <b val="1"/>
      <color rgb="00FFFFFF"/>
      <sz val="12"/>
    </font>
    <font>
      <color rgb="00000000"/>
      <sz val="10"/>
    </font>
    <font>
      <b val="1"/>
      <color rgb="00FFFFFF"/>
      <sz val="9"/>
    </font>
    <font>
      <color rgb="00000000"/>
      <sz val="9"/>
    </font>
    <font>
      <b val="1"/>
      <color rgb="00000000"/>
      <sz val="9"/>
    </font>
    <font>
      <b val="1"/>
      <color rgb="00006100"/>
      <sz val="10"/>
    </font>
    <font>
      <b val="1"/>
      <color rgb="007F6000"/>
      <sz val="10"/>
    </font>
    <font>
      <i val="1"/>
      <color rgb="002E5496"/>
      <sz val="9"/>
    </font>
    <font>
      <i val="1"/>
      <color rgb="0080808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6FC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5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" customWidth="1" min="1" max="1"/>
    <col width="46" customWidth="1" min="2" max="2"/>
    <col width="20" customWidth="1" min="3" max="3"/>
    <col width="24" customWidth="1" min="4" max="4"/>
    <col width="24" customWidth="1" min="5" max="5"/>
    <col width="16" customWidth="1" min="6" max="6"/>
    <col width="20" customWidth="1" min="7" max="7"/>
    <col width="22" customWidth="1" min="8" max="8"/>
    <col width="12" customWidth="1" min="9" max="9"/>
  </cols>
  <sheetData>
    <row r="2">
      <c r="B2" s="1" t="inlineStr">
        <is>
          <t>MAHARASHTRA (AISSS) — PF SALARY RECONCILIATION</t>
        </is>
      </c>
    </row>
    <row r="3">
      <c r="B3" s="2" t="inlineStr">
        <is>
          <t>FY2024-25  ·  Apr-24 → Mar-25  ·  West-only ECR  ·  All checks 0 violations</t>
        </is>
      </c>
    </row>
    <row r="5">
      <c r="B5" s="3" t="inlineStr">
        <is>
          <t>A.  MONTH-WISE PF RECONCILIATION (₹)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B6" s="5" t="inlineStr">
        <is>
          <t>MONTH</t>
        </is>
      </c>
      <c r="C6" s="5" t="inlineStr">
        <is>
          <t>Rows</t>
        </is>
      </c>
      <c r="D6" s="5" t="inlineStr">
        <is>
          <t>Orig Salary PF</t>
        </is>
      </c>
      <c r="E6" s="5" t="inlineStr">
        <is>
          <t>ECR Filed</t>
        </is>
      </c>
      <c r="F6" s="5" t="inlineStr">
        <is>
          <t>ECR Capped = Revised PF</t>
        </is>
      </c>
      <c r="G6" s="5" t="inlineStr">
        <is>
          <t>PF Gap</t>
        </is>
      </c>
      <c r="H6" s="5" t="inlineStr">
        <is>
          <t>Above-₹1,800 Surplus</t>
        </is>
      </c>
      <c r="I6" s="5" t="inlineStr">
        <is>
          <t>PF Parked (Other Ded)</t>
        </is>
      </c>
    </row>
    <row r="7">
      <c r="B7" s="6" t="inlineStr">
        <is>
          <t>APR-24</t>
        </is>
      </c>
      <c r="C7" s="7" t="n">
        <v>1757</v>
      </c>
      <c r="D7" s="7" t="n">
        <v>2584327.64</v>
      </c>
      <c r="E7" s="7" t="n">
        <v>2402823.28</v>
      </c>
      <c r="F7" s="7" t="n">
        <v>2379009.52</v>
      </c>
      <c r="G7" s="7" t="n">
        <v>0</v>
      </c>
      <c r="H7" s="7" t="n">
        <v>23636.04</v>
      </c>
      <c r="I7" s="7" t="n">
        <v>205318.12</v>
      </c>
    </row>
    <row r="8">
      <c r="B8" s="8" t="inlineStr">
        <is>
          <t>MAY-24</t>
        </is>
      </c>
      <c r="C8" s="9" t="n">
        <v>1713</v>
      </c>
      <c r="D8" s="9" t="n">
        <v>2534768.88</v>
      </c>
      <c r="E8" s="9" t="n">
        <v>2379619.64</v>
      </c>
      <c r="F8" s="9" t="n">
        <v>2350265.6</v>
      </c>
      <c r="G8" s="9" t="n">
        <v>0</v>
      </c>
      <c r="H8" s="9" t="n">
        <v>25872</v>
      </c>
      <c r="I8" s="9" t="n">
        <v>184503.28</v>
      </c>
    </row>
    <row r="9">
      <c r="B9" s="6" t="inlineStr">
        <is>
          <t>JUN-24</t>
        </is>
      </c>
      <c r="C9" s="7" t="n">
        <v>1818</v>
      </c>
      <c r="D9" s="7" t="n">
        <v>2667491.76</v>
      </c>
      <c r="E9" s="7" t="n">
        <v>2513706.16</v>
      </c>
      <c r="F9" s="7" t="n">
        <v>2477027.92</v>
      </c>
      <c r="G9" s="7" t="n">
        <v>0</v>
      </c>
      <c r="H9" s="7" t="n">
        <v>26059.32</v>
      </c>
      <c r="I9" s="7" t="n">
        <v>190463.84</v>
      </c>
    </row>
    <row r="10">
      <c r="B10" s="8" t="inlineStr">
        <is>
          <t>JUL-24</t>
        </is>
      </c>
      <c r="C10" s="9" t="n">
        <v>1820</v>
      </c>
      <c r="D10" s="9" t="n">
        <v>2710675.4</v>
      </c>
      <c r="E10" s="9" t="n">
        <v>2552089.96</v>
      </c>
      <c r="F10" s="9" t="n">
        <v>2522985.64</v>
      </c>
      <c r="G10" s="9" t="n">
        <v>0</v>
      </c>
      <c r="H10" s="9" t="n">
        <v>28756.32</v>
      </c>
      <c r="I10" s="9" t="n">
        <v>187689.76</v>
      </c>
    </row>
    <row r="11">
      <c r="B11" s="6" t="inlineStr">
        <is>
          <t>AUG-24</t>
        </is>
      </c>
      <c r="C11" s="7" t="n">
        <v>1820</v>
      </c>
      <c r="D11" s="7" t="n">
        <v>2802253.32</v>
      </c>
      <c r="E11" s="7" t="n">
        <v>2631886.52</v>
      </c>
      <c r="F11" s="7" t="n">
        <v>2597426</v>
      </c>
      <c r="G11" s="7" t="n">
        <v>0</v>
      </c>
      <c r="H11" s="7" t="n">
        <v>30803.76</v>
      </c>
      <c r="I11" s="7" t="n">
        <v>204827.32</v>
      </c>
    </row>
    <row r="12">
      <c r="B12" s="8" t="inlineStr">
        <is>
          <t>SEP-24</t>
        </is>
      </c>
      <c r="C12" s="9" t="n">
        <v>1825</v>
      </c>
      <c r="D12" s="9" t="n">
        <v>2756165.72</v>
      </c>
      <c r="E12" s="9" t="n">
        <v>2589092.68</v>
      </c>
      <c r="F12" s="9" t="n">
        <v>2545659.32</v>
      </c>
      <c r="G12" s="9" t="n">
        <v>0</v>
      </c>
      <c r="H12" s="9" t="n">
        <v>32835.36</v>
      </c>
      <c r="I12" s="9" t="n">
        <v>210506.4</v>
      </c>
    </row>
    <row r="13">
      <c r="B13" s="6" t="inlineStr">
        <is>
          <t>OCT-24</t>
        </is>
      </c>
      <c r="C13" s="7" t="n">
        <v>1799</v>
      </c>
      <c r="D13" s="7" t="n">
        <v>2812260.2</v>
      </c>
      <c r="E13" s="7" t="n">
        <v>2650968.04</v>
      </c>
      <c r="F13" s="7" t="n">
        <v>2614187.2</v>
      </c>
      <c r="G13" s="7" t="n">
        <v>0</v>
      </c>
      <c r="H13" s="7" t="n">
        <v>33583.32</v>
      </c>
      <c r="I13" s="7" t="n">
        <v>198073</v>
      </c>
    </row>
    <row r="14">
      <c r="B14" s="8" t="inlineStr">
        <is>
          <t>NOV-24</t>
        </is>
      </c>
      <c r="C14" s="9" t="n">
        <v>1811</v>
      </c>
      <c r="D14" s="9" t="n">
        <v>2630461.08</v>
      </c>
      <c r="E14" s="9" t="n">
        <v>2475529.88</v>
      </c>
      <c r="F14" s="9" t="n">
        <v>2442236.48</v>
      </c>
      <c r="G14" s="9" t="n">
        <v>0</v>
      </c>
      <c r="H14" s="9" t="n">
        <v>31577.64</v>
      </c>
      <c r="I14" s="9" t="n">
        <v>188224.6</v>
      </c>
    </row>
    <row r="15">
      <c r="B15" s="6" t="inlineStr">
        <is>
          <t>DEC-24</t>
        </is>
      </c>
      <c r="C15" s="7" t="n">
        <v>1745</v>
      </c>
      <c r="D15" s="7" t="n">
        <v>2691269.32</v>
      </c>
      <c r="E15" s="7" t="n">
        <v>2547338.48</v>
      </c>
      <c r="F15" s="7" t="n">
        <v>2516762.84</v>
      </c>
      <c r="G15" s="7" t="n">
        <v>0</v>
      </c>
      <c r="H15" s="7" t="n">
        <v>29212.8</v>
      </c>
      <c r="I15" s="7" t="n">
        <v>174506.48</v>
      </c>
    </row>
    <row r="16">
      <c r="B16" s="8" t="inlineStr">
        <is>
          <t>JAN-25</t>
        </is>
      </c>
      <c r="C16" s="9" t="n">
        <v>1831</v>
      </c>
      <c r="D16" s="9" t="n">
        <v>2753833.52</v>
      </c>
      <c r="E16" s="9" t="n">
        <v>2607369.16</v>
      </c>
      <c r="F16" s="9" t="n">
        <v>2576860.56</v>
      </c>
      <c r="G16" s="9" t="n">
        <v>0</v>
      </c>
      <c r="H16" s="9" t="n">
        <v>30397.6</v>
      </c>
      <c r="I16" s="9" t="n">
        <v>176972.96</v>
      </c>
    </row>
    <row r="17">
      <c r="B17" s="6" t="inlineStr">
        <is>
          <t>FEB-25</t>
        </is>
      </c>
      <c r="C17" s="7" t="n">
        <v>1820</v>
      </c>
      <c r="D17" s="7" t="n">
        <v>2798222.44</v>
      </c>
      <c r="E17" s="7" t="n">
        <v>2645120.28</v>
      </c>
      <c r="F17" s="7" t="n">
        <v>2613353.4</v>
      </c>
      <c r="G17" s="7" t="n">
        <v>0</v>
      </c>
      <c r="H17" s="7" t="n">
        <v>31766.88</v>
      </c>
      <c r="I17" s="7" t="n">
        <v>184869.04</v>
      </c>
    </row>
    <row r="18">
      <c r="B18" s="8" t="inlineStr">
        <is>
          <t>MAR-25</t>
        </is>
      </c>
      <c r="C18" s="9" t="n">
        <v>1792</v>
      </c>
      <c r="D18" s="9" t="n">
        <v>2780937.84</v>
      </c>
      <c r="E18" s="9" t="n">
        <v>2626793.6</v>
      </c>
      <c r="F18" s="9" t="n">
        <v>2593909.52</v>
      </c>
      <c r="G18" s="9" t="n">
        <v>0</v>
      </c>
      <c r="H18" s="9" t="n">
        <v>32884.08</v>
      </c>
      <c r="I18" s="9" t="n">
        <v>187028.32</v>
      </c>
    </row>
    <row r="19">
      <c r="B19" s="10" t="inlineStr">
        <is>
          <t>TOTAL</t>
        </is>
      </c>
      <c r="C19" s="11" t="n">
        <v>21551</v>
      </c>
      <c r="D19" s="11" t="n">
        <v>32522667.12</v>
      </c>
      <c r="E19" s="11" t="n">
        <v>30622337.68</v>
      </c>
      <c r="F19" s="11" t="n">
        <v>30229684</v>
      </c>
      <c r="G19" s="11" t="n">
        <v>0</v>
      </c>
      <c r="H19" s="11" t="n">
        <v>357385.12</v>
      </c>
      <c r="I19" s="11" t="n">
        <v>2292983.12</v>
      </c>
    </row>
    <row r="21">
      <c r="B21" s="3" t="inlineStr">
        <is>
          <t>B.  RECONCILIATION BRIDGE (YEAR)</t>
        </is>
      </c>
      <c r="C21" s="4" t="inlineStr"/>
      <c r="D21" s="4" t="inlineStr"/>
      <c r="E21" s="4" t="inlineStr"/>
    </row>
    <row r="22">
      <c r="B22" s="12" t="inlineStr">
        <is>
          <t>Original salary PF (employee EE)</t>
        </is>
      </c>
      <c r="C22" s="12" t="inlineStr"/>
      <c r="D22" s="13" t="n">
        <v>32522667.12</v>
      </c>
    </row>
    <row r="23">
      <c r="B23" s="12" t="inlineStr">
        <is>
          <t>ECR PF filed (West + DMART, matched)</t>
        </is>
      </c>
      <c r="C23" s="12" t="inlineStr"/>
      <c r="D23" s="13" t="n">
        <v>30622337.68</v>
      </c>
    </row>
    <row r="24">
      <c r="B24" s="12" t="inlineStr">
        <is>
          <t xml:space="preserve">  − Above-₹1,800 statutory cap surplus</t>
        </is>
      </c>
      <c r="C24" s="12" t="inlineStr"/>
      <c r="D24" s="13" t="n">
        <v>-357385.12</v>
      </c>
    </row>
    <row r="25">
      <c r="B25" s="12" t="inlineStr">
        <is>
          <t xml:space="preserve">  − Secondary multi-site duplicate ECR (→ primary)</t>
        </is>
      </c>
      <c r="C25" s="12" t="inlineStr"/>
      <c r="D25" s="13" t="n">
        <v>-35268.55999999971</v>
      </c>
    </row>
    <row r="26">
      <c r="B26" s="14">
        <f> ECR_PF_CAPPED anchor  =  REVISED PF  (gap ₹0)</f>
        <v/>
      </c>
      <c r="C26" s="15" t="inlineStr"/>
      <c r="D26" s="16" t="n">
        <v>30229684</v>
      </c>
    </row>
    <row r="27">
      <c r="B27" s="12" t="inlineStr">
        <is>
          <t>PF parked in OTHER DEDUCTION (net-neutral)</t>
        </is>
      </c>
      <c r="C27" s="12" t="inlineStr"/>
      <c r="D27" s="13" t="n">
        <v>2292983.12</v>
      </c>
    </row>
    <row r="29">
      <c r="B29" s="3" t="inlineStr">
        <is>
          <t>C.  RULE-APPLICATION STATISTICS (rows)</t>
        </is>
      </c>
      <c r="C29" s="4" t="inlineStr"/>
      <c r="D29" s="4" t="inlineStr"/>
      <c r="E29" s="4" t="inlineStr"/>
      <c r="F29" s="4" t="inlineStr"/>
      <c r="G29" s="4" t="inlineStr"/>
      <c r="H29" s="4" t="inlineStr"/>
    </row>
    <row r="30">
      <c r="B30" s="5" t="inlineStr">
        <is>
          <t>Month</t>
        </is>
      </c>
      <c r="C30" s="5" t="inlineStr">
        <is>
          <t>No Adjustment</t>
        </is>
      </c>
      <c r="D30" s="5" t="inlineStr">
        <is>
          <t>Not in ECR</t>
        </is>
      </c>
      <c r="E30" s="5" t="inlineStr">
        <is>
          <t>Multi-site Secondary</t>
        </is>
      </c>
      <c r="F30" s="5" t="inlineStr">
        <is>
          <t>Case A</t>
        </is>
      </c>
      <c r="G30" s="5" t="inlineStr">
        <is>
          <t>Case B</t>
        </is>
      </c>
      <c r="H30" s="5" t="inlineStr">
        <is>
          <t>Cond 2</t>
        </is>
      </c>
    </row>
    <row r="31">
      <c r="B31" s="6" t="inlineStr">
        <is>
          <t>APR-24</t>
        </is>
      </c>
      <c r="C31" s="17" t="n">
        <v>1624</v>
      </c>
      <c r="D31" s="17" t="n">
        <v>130</v>
      </c>
      <c r="E31" s="17" t="n">
        <v>2</v>
      </c>
      <c r="F31" s="17" t="n">
        <v>1</v>
      </c>
      <c r="G31" s="17" t="n">
        <v>0</v>
      </c>
      <c r="H31" s="17" t="n">
        <v>0</v>
      </c>
    </row>
    <row r="32">
      <c r="B32" s="8" t="inlineStr">
        <is>
          <t>MAY-24</t>
        </is>
      </c>
      <c r="C32" s="18" t="n">
        <v>1602</v>
      </c>
      <c r="D32" s="18" t="n">
        <v>107</v>
      </c>
      <c r="E32" s="18" t="n">
        <v>4</v>
      </c>
      <c r="F32" s="18" t="n">
        <v>0</v>
      </c>
      <c r="G32" s="18" t="n">
        <v>0</v>
      </c>
      <c r="H32" s="18" t="n">
        <v>0</v>
      </c>
    </row>
    <row r="33">
      <c r="B33" s="6" t="inlineStr">
        <is>
          <t>JUN-24</t>
        </is>
      </c>
      <c r="C33" s="17" t="n">
        <v>1701</v>
      </c>
      <c r="D33" s="17" t="n">
        <v>107</v>
      </c>
      <c r="E33" s="17" t="n">
        <v>9</v>
      </c>
      <c r="F33" s="17" t="n">
        <v>0</v>
      </c>
      <c r="G33" s="17" t="n">
        <v>1</v>
      </c>
      <c r="H33" s="17" t="n">
        <v>0</v>
      </c>
    </row>
    <row r="34">
      <c r="B34" s="8" t="inlineStr">
        <is>
          <t>JUL-24</t>
        </is>
      </c>
      <c r="C34" s="18" t="n">
        <v>1702</v>
      </c>
      <c r="D34" s="18" t="n">
        <v>116</v>
      </c>
      <c r="E34" s="18" t="n">
        <v>1</v>
      </c>
      <c r="F34" s="18" t="n">
        <v>0</v>
      </c>
      <c r="G34" s="18" t="n">
        <v>1</v>
      </c>
      <c r="H34" s="18" t="n">
        <v>0</v>
      </c>
    </row>
    <row r="35">
      <c r="B35" s="6" t="inlineStr">
        <is>
          <t>AUG-24</t>
        </is>
      </c>
      <c r="C35" s="17" t="n">
        <v>1698</v>
      </c>
      <c r="D35" s="17" t="n">
        <v>112</v>
      </c>
      <c r="E35" s="17" t="n">
        <v>8</v>
      </c>
      <c r="F35" s="17" t="n">
        <v>0</v>
      </c>
      <c r="G35" s="17" t="n">
        <v>2</v>
      </c>
      <c r="H35" s="17" t="n">
        <v>0</v>
      </c>
    </row>
    <row r="36">
      <c r="B36" s="8" t="inlineStr">
        <is>
          <t>SEP-24</t>
        </is>
      </c>
      <c r="C36" s="18" t="n">
        <v>1692</v>
      </c>
      <c r="D36" s="18" t="n">
        <v>115</v>
      </c>
      <c r="E36" s="18" t="n">
        <v>9</v>
      </c>
      <c r="F36" s="18" t="n">
        <v>0</v>
      </c>
      <c r="G36" s="18" t="n">
        <v>0</v>
      </c>
      <c r="H36" s="18" t="n">
        <v>9</v>
      </c>
    </row>
    <row r="37">
      <c r="B37" s="6" t="inlineStr">
        <is>
          <t>OCT-24</t>
        </is>
      </c>
      <c r="C37" s="17" t="n">
        <v>1691</v>
      </c>
      <c r="D37" s="17" t="n">
        <v>103</v>
      </c>
      <c r="E37" s="17" t="n">
        <v>5</v>
      </c>
      <c r="F37" s="17" t="n">
        <v>0</v>
      </c>
      <c r="G37" s="17" t="n">
        <v>0</v>
      </c>
      <c r="H37" s="17" t="n">
        <v>0</v>
      </c>
    </row>
    <row r="38">
      <c r="B38" s="8" t="inlineStr">
        <is>
          <t>NOV-24</t>
        </is>
      </c>
      <c r="C38" s="18" t="n">
        <v>1707</v>
      </c>
      <c r="D38" s="18" t="n">
        <v>102</v>
      </c>
      <c r="E38" s="18" t="n">
        <v>2</v>
      </c>
      <c r="F38" s="18" t="n">
        <v>0</v>
      </c>
      <c r="G38" s="18" t="n">
        <v>0</v>
      </c>
      <c r="H38" s="18" t="n">
        <v>0</v>
      </c>
    </row>
    <row r="39">
      <c r="B39" s="6" t="inlineStr">
        <is>
          <t>DEC-24</t>
        </is>
      </c>
      <c r="C39" s="17" t="n">
        <v>1647</v>
      </c>
      <c r="D39" s="17" t="n">
        <v>95</v>
      </c>
      <c r="E39" s="17" t="n">
        <v>2</v>
      </c>
      <c r="F39" s="17" t="n">
        <v>0</v>
      </c>
      <c r="G39" s="17" t="n">
        <v>1</v>
      </c>
      <c r="H39" s="17" t="n">
        <v>0</v>
      </c>
    </row>
    <row r="40">
      <c r="B40" s="8" t="inlineStr">
        <is>
          <t>JAN-25</t>
        </is>
      </c>
      <c r="C40" s="18" t="n">
        <v>1725</v>
      </c>
      <c r="D40" s="18" t="n">
        <v>103</v>
      </c>
      <c r="E40" s="18" t="n">
        <v>2</v>
      </c>
      <c r="F40" s="18" t="n">
        <v>0</v>
      </c>
      <c r="G40" s="18" t="n">
        <v>1</v>
      </c>
      <c r="H40" s="18" t="n">
        <v>0</v>
      </c>
    </row>
    <row r="41">
      <c r="B41" s="6" t="inlineStr">
        <is>
          <t>FEB-25</t>
        </is>
      </c>
      <c r="C41" s="17" t="n">
        <v>1716</v>
      </c>
      <c r="D41" s="17" t="n">
        <v>104</v>
      </c>
      <c r="E41" s="17" t="n">
        <v>0</v>
      </c>
      <c r="F41" s="17" t="n">
        <v>0</v>
      </c>
      <c r="G41" s="17" t="n">
        <v>0</v>
      </c>
      <c r="H41" s="17" t="n">
        <v>0</v>
      </c>
    </row>
    <row r="42">
      <c r="B42" s="8" t="inlineStr">
        <is>
          <t>MAR-25</t>
        </is>
      </c>
      <c r="C42" s="18" t="n">
        <v>1690</v>
      </c>
      <c r="D42" s="18" t="n">
        <v>102</v>
      </c>
      <c r="E42" s="18" t="n">
        <v>0</v>
      </c>
      <c r="F42" s="18" t="n">
        <v>0</v>
      </c>
      <c r="G42" s="18" t="n">
        <v>0</v>
      </c>
      <c r="H42" s="18" t="n">
        <v>0</v>
      </c>
    </row>
    <row r="43">
      <c r="B43" s="10" t="inlineStr">
        <is>
          <t>TOTAL</t>
        </is>
      </c>
      <c r="C43" s="19" t="n">
        <v>20195</v>
      </c>
      <c r="D43" s="19" t="n">
        <v>1296</v>
      </c>
      <c r="E43" s="19" t="n">
        <v>44</v>
      </c>
      <c r="F43" s="19" t="n">
        <v>1</v>
      </c>
      <c r="G43" s="19" t="n">
        <v>6</v>
      </c>
      <c r="H43" s="19" t="n">
        <v>9</v>
      </c>
    </row>
    <row r="45">
      <c r="B45" s="3" t="inlineStr">
        <is>
          <t>D.  CHECKS STATUS</t>
        </is>
      </c>
      <c r="C45" s="4" t="inlineStr"/>
      <c r="D45" s="4" t="inlineStr"/>
      <c r="E45" s="4" t="inlineStr"/>
    </row>
    <row r="46">
      <c r="B46" s="12" t="inlineStr">
        <is>
          <t>Golden Rule 1 — Σ REVISED_PF = ECR capped anchor (per-row gap)</t>
        </is>
      </c>
      <c r="C46" s="20" t="inlineStr">
        <is>
          <t>PASS ✓</t>
        </is>
      </c>
    </row>
    <row r="47">
      <c r="B47" s="12" t="inlineStr">
        <is>
          <t>C3 — REVISED_PF = 12% × REVISED_BASIC (PF&gt;0 rows)</t>
        </is>
      </c>
      <c r="C47" s="20" t="inlineStr">
        <is>
          <t>PASS ✓</t>
        </is>
      </c>
    </row>
    <row r="48">
      <c r="B48" s="12" t="inlineStr">
        <is>
          <t>CAP1 — REVISED_PF ≤ ₹1,800</t>
        </is>
      </c>
      <c r="C48" s="20" t="inlineStr">
        <is>
          <t>PASS ✓</t>
        </is>
      </c>
    </row>
    <row r="49">
      <c r="B49" s="12" t="inlineStr">
        <is>
          <t>CAP5 — REVISED_BASIC(+DA) ≤ ₹15,000</t>
        </is>
      </c>
      <c r="C49" s="20" t="inlineStr">
        <is>
          <t>PASS ✓</t>
        </is>
      </c>
    </row>
    <row r="50">
      <c r="B50" s="12" t="inlineStr">
        <is>
          <t>C10 / M6 — ECR-PF row BD projection ≤ ₹15,000</t>
        </is>
      </c>
      <c r="C50" s="20" t="inlineStr">
        <is>
          <t>PASS ✓</t>
        </is>
      </c>
    </row>
    <row r="51">
      <c r="B51" s="12" t="inlineStr">
        <is>
          <t>P2 — Not-in-ECR row projection strictly &lt; ₹15,000</t>
        </is>
      </c>
      <c r="C51" s="20" t="inlineStr">
        <is>
          <t>PASS ✓</t>
        </is>
      </c>
    </row>
    <row r="52">
      <c r="B52" s="12" t="inlineStr">
        <is>
          <t>C9 — ADJ_WORKING_DAYS in [1, full-month]</t>
        </is>
      </c>
      <c r="C52" s="20" t="inlineStr">
        <is>
          <t>PASS ✓</t>
        </is>
      </c>
    </row>
    <row r="53">
      <c r="B53" s="12" t="inlineStr">
        <is>
          <t>Documented exception — not-in-ECR daily-wage rows at exactly ₹15,000/mo</t>
        </is>
      </c>
      <c r="C53" s="21" t="inlineStr">
        <is>
          <t>10 rows</t>
        </is>
      </c>
    </row>
    <row r="55">
      <c r="B55" s="22" t="inlineStr">
        <is>
          <t>West-only ECR: verified end-to-end (Apr/Oct/Jan) vs raw West &amp; South challan — 0 dual-region empcodes, ₹0 South leakage.</t>
        </is>
      </c>
    </row>
    <row r="56">
      <c r="B56" s="22" t="inlineStr">
        <is>
          <t>Scope: PF only. ESI reconciliation vs the ESIC Future register requires the full salary sheet (&gt;10 MB) — run locally.</t>
        </is>
      </c>
    </row>
    <row r="57">
      <c r="B57" s="23" t="inlineStr">
        <is>
          <t>Source basis: Salary_vs_ECR_PF_EE_Maharashtra_2024-25.xlsx · Generated by reconcile_mh.py.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2026-07-08T04:24:17Z</dcterms:created>
  <dcterms:modified xsi:type="dcterms:W3CDTF">2026-07-08T04:24:17Z</dcterms:modified>
</cp:coreProperties>
</file>