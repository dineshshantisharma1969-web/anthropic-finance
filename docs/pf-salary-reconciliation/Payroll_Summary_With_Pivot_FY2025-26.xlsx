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— By Month" sheetId="1" r:id="rId1"/>
    <sheet name="Pivot Data (tidy)" sheetId="2" r:id="rId2"/>
    <sheet name="Pivot — By State" sheetId="3" r:id="rId3"/>
    <sheet name="PF Reconciliation" sheetId="4" r:id="rId4"/>
    <sheet name="Notes" sheetId="5" r:id="rId5"/>
  </sheets>
  <calcPr calcId="124519" fullCalcOnLoad="1"/>
</workbook>
</file>

<file path=xl/sharedStrings.xml><?xml version="1.0" encoding="utf-8"?>
<sst xmlns="http://schemas.openxmlformats.org/spreadsheetml/2006/main" count="740" uniqueCount="87">
  <si>
    <t>ISPL Payroll Summary — FY2025-26 (By Month)</t>
  </si>
  <si>
    <t>All figures in ₹ (reconciled M13 FINAL).  Net Payable = sacrosanct anchor.  Column TOTALs are live SUM formulas.  Gross ≈ Basic+DA+Allowances and Net = Gross − Total Deduction, exact except ₹1 source rounding (May TD, Aug Gross).</t>
  </si>
  <si>
    <t>Month</t>
  </si>
  <si>
    <t>Earned Basic + DA</t>
  </si>
  <si>
    <t>Other Allowances</t>
  </si>
  <si>
    <t>Total Earned Gross</t>
  </si>
  <si>
    <t>PF (booked)</t>
  </si>
  <si>
    <t>ESI</t>
  </si>
  <si>
    <t>Professional Tax</t>
  </si>
  <si>
    <t>Other Deductions</t>
  </si>
  <si>
    <t>Total Deduction</t>
  </si>
  <si>
    <t>Net Payable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</si>
  <si>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</si>
  <si>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</si>
  <si>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</si>
  <si>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</si>
  <si>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</si>
  <si>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</si>
  <si>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</si>
  <si>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</si>
  <si>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</si>
  <si>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</si>
  <si>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</si>
  <si>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</si>
  <si>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TOTAL</t>
  </si>
  <si>
    <t>Pivot Source Data (tidy / long format)</t>
  </si>
  <si>
    <t>One row per State × Month → Net Payable (₹). Feeds 'Pivot — By State' via SUMIFS. Drop a native PivotTable on A4:C316.</t>
  </si>
  <si>
    <t>State</t>
  </si>
  <si>
    <t>HARYANA</t>
  </si>
  <si>
    <t>UTTAR PRADESH</t>
  </si>
  <si>
    <t>DELHI</t>
  </si>
  <si>
    <t>WEST BENGAL</t>
  </si>
  <si>
    <t>MAHARASHTRA</t>
  </si>
  <si>
    <t>TELANGANA</t>
  </si>
  <si>
    <t>KARNATAKA</t>
  </si>
  <si>
    <t>RAJASTHAN</t>
  </si>
  <si>
    <t>ASSAM</t>
  </si>
  <si>
    <t>ORISSA</t>
  </si>
  <si>
    <t>PUNJAB</t>
  </si>
  <si>
    <t>UTTARAKHAND</t>
  </si>
  <si>
    <t>GUJARAT</t>
  </si>
  <si>
    <t>MADHYA PRADESH</t>
  </si>
  <si>
    <t>ANDHRA PRADESH</t>
  </si>
  <si>
    <t>TAMIL NADU</t>
  </si>
  <si>
    <t>BIHAR</t>
  </si>
  <si>
    <t>CHANDIGARH</t>
  </si>
  <si>
    <t>HIMACHAL PRADESH</t>
  </si>
  <si>
    <t>JHARKHAND</t>
  </si>
  <si>
    <t>MIZORAM</t>
  </si>
  <si>
    <t>JAMMU &amp; KASHMIR</t>
  </si>
  <si>
    <t>KERALA</t>
  </si>
  <si>
    <t>CHATTISGARH</t>
  </si>
  <si>
    <t>GOA</t>
  </si>
  <si>
    <t>TRIPURA</t>
  </si>
  <si>
    <t>Pivot — Net Payable by State × Month</t>
  </si>
  <si>
    <t>Live-linked (SUMIFS) to 'Pivot Data (tidy)'. Rows = State (sorted by FY total, desc); columns = month; ₹.</t>
  </si>
  <si>
    <t>FY Total</t>
  </si>
  <si>
    <t>GRAND TOTAL</t>
  </si>
  <si>
    <t>CHECK vs Summary Net (=0)</t>
  </si>
  <si>
    <t>PF Reconciliation — FY2025-26 (Employee PF, ₹)</t>
  </si>
  <si>
    <t>Golden rule: Revised salary PF = filed ECR EE per employee → PF Gap = 0 every month.  Total ECR = ANUJ current-month challan (verified 13-Jul-2026).</t>
  </si>
  <si>
    <t>Revised PF (salary)</t>
  </si>
  <si>
    <t>ECR EE (salary-sheet emps)</t>
  </si>
  <si>
    <t>PF Gap (B−C)</t>
  </si>
  <si>
    <t>Back-office ECR EE</t>
  </si>
  <si>
    <t>Other ECR-only</t>
  </si>
  <si>
    <t>Total PF per ECR (EE)</t>
  </si>
  <si>
    <t>ANUJ arrear / penalty</t>
  </si>
  <si>
    <t>ANUJ month total (deposited)</t>
  </si>
  <si>
    <t>SCOPE: ISPL pan-India payroll, FY2025-26 (Apr-25 → Mar-26), M13 FINAL reconciled basis.</t>
  </si>
  <si>
    <t>TABS</t>
  </si>
  <si>
    <t xml:space="preserve">  • Summary — By Month : 12-month payroll summary. Gross = Basic+DA + Other Allowances;</t>
  </si>
  <si>
    <t xml:space="preserve">       Total Deduction = PF + ESI + PT + Other Deductions; Net Payable = Gross − Total Deduction (formulas).</t>
  </si>
  <si>
    <t xml:space="preserve">  • Pivot — By State   : Net Payable by State × Month, live via SUMIFS on 'Pivot Data (tidy)'.</t>
  </si>
  <si>
    <t xml:space="preserve">  • Pivot Data (tidy)  : long-format source (State, Month, Net Payable) — pivot-ready.</t>
  </si>
  <si>
    <t xml:space="preserve">  • PF Reconciliation  : Revised salary PF = filed ECR EE (gap 0), tied to ANUJ deposited challan.</t>
  </si>
  <si>
    <t>ANCHORS (must hold)</t>
  </si>
  <si>
    <t xml:space="preserve">  • FY Net Payable     = 2,932,971,946   (drift 0 vs original in all ~235,077 rows).</t>
  </si>
  <si>
    <t xml:space="preserve">  • FY Revised PF (EE) = 291,754,961   = filed ECR EE (PF Gap 0 all 12 months).</t>
  </si>
  <si>
    <t xml:space="preserve">  • Pivot month totals = Summary Net Payable  → CHECK row on 'Pivot — By State' = 0.</t>
  </si>
  <si>
    <t>SITE / BRANCH</t>
  </si>
  <si>
    <t xml:space="preserve">  This workbook pivots to STATE level (finest grain reconciled here). A true site/branch</t>
  </si>
  <si>
    <t xml:space="preserve">  pivot needs the row-level data in PIVOT_FY202526_LIVE_LINKED (Google Sheet, tab</t>
  </si>
  <si>
    <t xml:space="preserve">  CONSOL_RevisedBlock, ~235k rows).</t>
  </si>
  <si>
    <t>SOURCES</t>
  </si>
  <si>
    <t xml:space="preserve">  SALARY_KNOWLEDGEBASE.md · SUMMARY_FY2025-26.csv (repo) · PIVOT_FY202526_LIVE_LINKED</t>
  </si>
  <si>
    <t xml:space="preserve">  (Google Drive 1tVwkaZPVZ9PMEkY952z6ZAQGL8UVuLUpSSC8HdymjFM). PF→ECR→ANUJ tie-out verified 13-Jul-2026 IST.</t>
  </si>
</sst>
</file>

<file path=xl/styles.xml><?xml version="1.0" encoding="utf-8"?>
<styleSheet xmlns="http://schemas.openxmlformats.org/spreadsheetml/2006/main">
  <numFmts count="1">
    <numFmt numFmtId="164" formatCode="#,##0;(#,##0);&quot;-&quot;"/>
  </numFmts>
  <fonts count="7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0" fontId="4" fillId="0" borderId="1" xfId="0" applyFont="1" applyBorder="1" applyAlignment="1">
      <alignment horizontal="center"/>
    </xf>
    <xf numFmtId="164" fontId="5" fillId="5" borderId="1" xfId="0" applyNumberFormat="1" applyFont="1" applyFill="1" applyBorder="1"/>
    <xf numFmtId="0" fontId="6" fillId="0" borderId="0" xfId="0" applyFont="1"/>
    <xf numFmtId="164" fontId="4" fillId="6" borderId="1" xfId="0" applyNumberFormat="1" applyFont="1" applyFill="1" applyBorder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9.7109375" customWidth="1"/>
    <col min="2" max="2" width="17.7109375" customWidth="1"/>
    <col min="3" max="3" width="15.7109375" customWidth="1"/>
    <col min="4" max="4" width="17.7109375" customWidth="1"/>
    <col min="5" max="5" width="13.7109375" customWidth="1"/>
    <col min="6" max="6" width="11.7109375" customWidth="1"/>
    <col min="7" max="7" width="13.7109375" customWidth="1"/>
    <col min="8" max="9" width="15.7109375" customWidth="1"/>
    <col min="10" max="10" width="16.7109375" customWidth="1"/>
  </cols>
  <sheetData>
    <row r="1" spans="1:10" ht="2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 t="s">
        <v>12</v>
      </c>
      <c r="B5" s="5">
        <v>210043740</v>
      </c>
      <c r="C5" s="5">
        <v>53423443</v>
      </c>
      <c r="D5" s="5">
        <v>263467183</v>
      </c>
      <c r="E5" s="5">
        <v>24173582</v>
      </c>
      <c r="F5" s="5">
        <v>1489009</v>
      </c>
      <c r="G5" s="5">
        <v>631048</v>
      </c>
      <c r="H5" s="5">
        <v>7483658</v>
      </c>
      <c r="I5" s="5">
        <v>33777297</v>
      </c>
      <c r="J5" s="5">
        <v>229689886</v>
      </c>
    </row>
    <row r="6" spans="1:10">
      <c r="A6" s="4" t="s">
        <v>13</v>
      </c>
      <c r="B6" s="5">
        <v>209829942</v>
      </c>
      <c r="C6" s="5">
        <v>54053636</v>
      </c>
      <c r="D6" s="5">
        <v>263883578</v>
      </c>
      <c r="E6" s="5">
        <v>24610756</v>
      </c>
      <c r="F6" s="5">
        <v>1505739</v>
      </c>
      <c r="G6" s="5">
        <v>668332</v>
      </c>
      <c r="H6" s="5">
        <v>4996518</v>
      </c>
      <c r="I6" s="5">
        <v>31781344</v>
      </c>
      <c r="J6" s="5">
        <v>232102234</v>
      </c>
    </row>
    <row r="7" spans="1:10">
      <c r="A7" s="4" t="s">
        <v>14</v>
      </c>
      <c r="B7" s="5">
        <v>209550065</v>
      </c>
      <c r="C7" s="5">
        <v>55672396</v>
      </c>
      <c r="D7" s="5">
        <v>265222461</v>
      </c>
      <c r="E7" s="5">
        <v>24904423</v>
      </c>
      <c r="F7" s="5">
        <v>1518775</v>
      </c>
      <c r="G7" s="5">
        <v>657648</v>
      </c>
      <c r="H7" s="5">
        <v>5202922</v>
      </c>
      <c r="I7" s="5">
        <v>32283768</v>
      </c>
      <c r="J7" s="5">
        <v>232938693</v>
      </c>
    </row>
    <row r="8" spans="1:10">
      <c r="A8" s="4" t="s">
        <v>15</v>
      </c>
      <c r="B8" s="5">
        <v>216450960</v>
      </c>
      <c r="C8" s="5">
        <v>57832758</v>
      </c>
      <c r="D8" s="5">
        <v>274283718</v>
      </c>
      <c r="E8" s="5">
        <v>25695497</v>
      </c>
      <c r="F8" s="5">
        <v>1569237</v>
      </c>
      <c r="G8" s="5">
        <v>681438</v>
      </c>
      <c r="H8" s="5">
        <v>5242616</v>
      </c>
      <c r="I8" s="5">
        <v>33188788</v>
      </c>
      <c r="J8" s="5">
        <v>241094930</v>
      </c>
    </row>
    <row r="9" spans="1:10">
      <c r="A9" s="4" t="s">
        <v>16</v>
      </c>
      <c r="B9" s="5">
        <v>211723679</v>
      </c>
      <c r="C9" s="5">
        <v>58249306</v>
      </c>
      <c r="D9" s="5">
        <v>269972986</v>
      </c>
      <c r="E9" s="5">
        <v>25208736</v>
      </c>
      <c r="F9" s="5">
        <v>1540847</v>
      </c>
      <c r="G9" s="5">
        <v>680314</v>
      </c>
      <c r="H9" s="5">
        <v>5373555</v>
      </c>
      <c r="I9" s="5">
        <v>32803452</v>
      </c>
      <c r="J9" s="5">
        <v>237169533</v>
      </c>
    </row>
    <row r="10" spans="1:10">
      <c r="A10" s="4" t="s">
        <v>17</v>
      </c>
      <c r="B10" s="5">
        <v>215604615</v>
      </c>
      <c r="C10" s="5">
        <v>59856339</v>
      </c>
      <c r="D10" s="5">
        <v>275460954</v>
      </c>
      <c r="E10" s="5">
        <v>25684018</v>
      </c>
      <c r="F10" s="5">
        <v>1574933</v>
      </c>
      <c r="G10" s="5">
        <v>691456</v>
      </c>
      <c r="H10" s="5">
        <v>7020570</v>
      </c>
      <c r="I10" s="5">
        <v>34970977</v>
      </c>
      <c r="J10" s="5">
        <v>240489977</v>
      </c>
    </row>
    <row r="11" spans="1:10">
      <c r="A11" s="4" t="s">
        <v>18</v>
      </c>
      <c r="B11" s="5">
        <v>201092730</v>
      </c>
      <c r="C11" s="5">
        <v>73570730</v>
      </c>
      <c r="D11" s="5">
        <v>274663460</v>
      </c>
      <c r="E11" s="5">
        <v>24362599</v>
      </c>
      <c r="F11" s="5">
        <v>1544260</v>
      </c>
      <c r="G11" s="5">
        <v>702917</v>
      </c>
      <c r="H11" s="5">
        <v>5787816</v>
      </c>
      <c r="I11" s="5">
        <v>32397592</v>
      </c>
      <c r="J11" s="5">
        <v>242265868</v>
      </c>
    </row>
    <row r="12" spans="1:10">
      <c r="A12" s="4" t="s">
        <v>19</v>
      </c>
      <c r="B12" s="5">
        <v>211826625</v>
      </c>
      <c r="C12" s="5">
        <v>59928929</v>
      </c>
      <c r="D12" s="5">
        <v>271755554</v>
      </c>
      <c r="E12" s="5">
        <v>25168592</v>
      </c>
      <c r="F12" s="5">
        <v>1536582</v>
      </c>
      <c r="G12" s="5">
        <v>687847</v>
      </c>
      <c r="H12" s="5">
        <v>4672355</v>
      </c>
      <c r="I12" s="5">
        <v>32065376</v>
      </c>
      <c r="J12" s="5">
        <v>239690178</v>
      </c>
    </row>
    <row r="13" spans="1:10">
      <c r="A13" s="4" t="s">
        <v>20</v>
      </c>
      <c r="B13" s="5">
        <v>226034081</v>
      </c>
      <c r="C13" s="5">
        <v>64620891</v>
      </c>
      <c r="D13" s="5">
        <v>290654972</v>
      </c>
      <c r="E13" s="5">
        <v>26592067</v>
      </c>
      <c r="F13" s="5">
        <v>1611674</v>
      </c>
      <c r="G13" s="5">
        <v>723248</v>
      </c>
      <c r="H13" s="5">
        <v>4824198</v>
      </c>
      <c r="I13" s="5">
        <v>33751187</v>
      </c>
      <c r="J13" s="5">
        <v>256903785</v>
      </c>
    </row>
    <row r="14" spans="1:10">
      <c r="A14" s="4" t="s">
        <v>21</v>
      </c>
      <c r="B14" s="5">
        <v>228650533</v>
      </c>
      <c r="C14" s="5">
        <v>64623148</v>
      </c>
      <c r="D14" s="5">
        <v>293273681</v>
      </c>
      <c r="E14" s="5">
        <v>26840187</v>
      </c>
      <c r="F14" s="5">
        <v>1625762</v>
      </c>
      <c r="G14" s="5">
        <v>715246</v>
      </c>
      <c r="H14" s="5">
        <v>4603570</v>
      </c>
      <c r="I14" s="5">
        <v>33784765</v>
      </c>
      <c r="J14" s="5">
        <v>259488916</v>
      </c>
    </row>
    <row r="15" spans="1:10">
      <c r="A15" s="4" t="s">
        <v>22</v>
      </c>
      <c r="B15" s="5">
        <v>226809311</v>
      </c>
      <c r="C15" s="5">
        <v>65702072</v>
      </c>
      <c r="D15" s="5">
        <v>292511383</v>
      </c>
      <c r="E15" s="5">
        <v>26750772</v>
      </c>
      <c r="F15" s="5">
        <v>1616147</v>
      </c>
      <c r="G15" s="5">
        <v>865325</v>
      </c>
      <c r="H15" s="5">
        <v>5671449</v>
      </c>
      <c r="I15" s="5">
        <v>34903693</v>
      </c>
      <c r="J15" s="5">
        <v>257607690</v>
      </c>
    </row>
    <row r="16" spans="1:10">
      <c r="A16" s="4" t="s">
        <v>23</v>
      </c>
      <c r="B16" s="5">
        <v>231077269</v>
      </c>
      <c r="C16" s="5">
        <v>66925374</v>
      </c>
      <c r="D16" s="5">
        <v>298002643</v>
      </c>
      <c r="E16" s="5">
        <v>27081131</v>
      </c>
      <c r="F16" s="5">
        <v>1646232</v>
      </c>
      <c r="G16" s="5">
        <v>728379</v>
      </c>
      <c r="H16" s="5">
        <v>5016645</v>
      </c>
      <c r="I16" s="5">
        <v>34472387</v>
      </c>
      <c r="J16" s="5">
        <v>263530256</v>
      </c>
    </row>
    <row r="17" spans="1:10">
      <c r="A17" s="6" t="s">
        <v>24</v>
      </c>
      <c r="B17" s="7">
        <f>SUM(B5:B16)</f>
        <v>2598693550</v>
      </c>
      <c r="C17" s="7">
        <f>SUM(C5:C16)</f>
        <v>734459022</v>
      </c>
      <c r="D17" s="7">
        <f>SUM(D5:D16)</f>
        <v>3333152573</v>
      </c>
      <c r="E17" s="7">
        <f>SUM(E5:E16)</f>
        <v>307072360</v>
      </c>
      <c r="F17" s="7">
        <f>SUM(F5:F16)</f>
        <v>18779197</v>
      </c>
      <c r="G17" s="7">
        <f>SUM(G5:G16)</f>
        <v>8433198</v>
      </c>
      <c r="H17" s="7">
        <f>SUM(H5:H16)</f>
        <v>65895872</v>
      </c>
      <c r="I17" s="7">
        <f>SUM(I5:I16)</f>
        <v>400180626</v>
      </c>
      <c r="J17" s="7">
        <f>SUM(J5:J16)</f>
        <v>2932971946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10.7109375" customWidth="1"/>
    <col min="3" max="3" width="16.7109375" customWidth="1"/>
  </cols>
  <sheetData>
    <row r="1" spans="1:3" ht="26" customHeight="1">
      <c r="A1" s="1" t="s">
        <v>25</v>
      </c>
      <c r="B1" s="1"/>
      <c r="C1" s="1"/>
    </row>
    <row r="2" spans="1:3" ht="28" customHeight="1">
      <c r="A2" s="2" t="s">
        <v>26</v>
      </c>
      <c r="B2" s="2"/>
      <c r="C2" s="2"/>
    </row>
    <row r="4" spans="1:3">
      <c r="A4" s="3" t="s">
        <v>27</v>
      </c>
      <c r="B4" s="3" t="s">
        <v>2</v>
      </c>
      <c r="C4" s="3" t="s">
        <v>11</v>
      </c>
    </row>
    <row r="5" spans="1:3">
      <c r="A5" s="4" t="s">
        <v>28</v>
      </c>
      <c r="B5" s="8" t="s">
        <v>12</v>
      </c>
      <c r="C5" s="5">
        <v>51961960</v>
      </c>
    </row>
    <row r="6" spans="1:3">
      <c r="A6" s="4" t="s">
        <v>28</v>
      </c>
      <c r="B6" s="8" t="s">
        <v>13</v>
      </c>
      <c r="C6" s="5">
        <v>52952440</v>
      </c>
    </row>
    <row r="7" spans="1:3">
      <c r="A7" s="4" t="s">
        <v>28</v>
      </c>
      <c r="B7" s="8" t="s">
        <v>14</v>
      </c>
      <c r="C7" s="5">
        <v>54551276</v>
      </c>
    </row>
    <row r="8" spans="1:3">
      <c r="A8" s="4" t="s">
        <v>28</v>
      </c>
      <c r="B8" s="8" t="s">
        <v>15</v>
      </c>
      <c r="C8" s="5">
        <v>56635359</v>
      </c>
    </row>
    <row r="9" spans="1:3">
      <c r="A9" s="4" t="s">
        <v>28</v>
      </c>
      <c r="B9" s="8" t="s">
        <v>16</v>
      </c>
      <c r="C9" s="5">
        <v>56407706</v>
      </c>
    </row>
    <row r="10" spans="1:3">
      <c r="A10" s="4" t="s">
        <v>28</v>
      </c>
      <c r="B10" s="8" t="s">
        <v>17</v>
      </c>
      <c r="C10" s="5">
        <v>57790286</v>
      </c>
    </row>
    <row r="11" spans="1:3">
      <c r="A11" s="4" t="s">
        <v>28</v>
      </c>
      <c r="B11" s="8" t="s">
        <v>18</v>
      </c>
      <c r="C11" s="5">
        <v>56032640</v>
      </c>
    </row>
    <row r="12" spans="1:3">
      <c r="A12" s="4" t="s">
        <v>28</v>
      </c>
      <c r="B12" s="8" t="s">
        <v>19</v>
      </c>
      <c r="C12" s="5">
        <v>54694417</v>
      </c>
    </row>
    <row r="13" spans="1:3">
      <c r="A13" s="4" t="s">
        <v>28</v>
      </c>
      <c r="B13" s="8" t="s">
        <v>20</v>
      </c>
      <c r="C13" s="5">
        <v>57158128</v>
      </c>
    </row>
    <row r="14" spans="1:3">
      <c r="A14" s="4" t="s">
        <v>28</v>
      </c>
      <c r="B14" s="8" t="s">
        <v>21</v>
      </c>
      <c r="C14" s="5">
        <v>57978729</v>
      </c>
    </row>
    <row r="15" spans="1:3">
      <c r="A15" s="4" t="s">
        <v>28</v>
      </c>
      <c r="B15" s="8" t="s">
        <v>22</v>
      </c>
      <c r="C15" s="5">
        <v>58556182</v>
      </c>
    </row>
    <row r="16" spans="1:3">
      <c r="A16" s="4" t="s">
        <v>28</v>
      </c>
      <c r="B16" s="8" t="s">
        <v>23</v>
      </c>
      <c r="C16" s="5">
        <v>57908184</v>
      </c>
    </row>
    <row r="17" spans="1:3">
      <c r="A17" s="4" t="s">
        <v>29</v>
      </c>
      <c r="B17" s="8" t="s">
        <v>12</v>
      </c>
      <c r="C17" s="5">
        <v>32756246</v>
      </c>
    </row>
    <row r="18" spans="1:3">
      <c r="A18" s="4" t="s">
        <v>29</v>
      </c>
      <c r="B18" s="8" t="s">
        <v>13</v>
      </c>
      <c r="C18" s="5">
        <v>34675704</v>
      </c>
    </row>
    <row r="19" spans="1:3">
      <c r="A19" s="4" t="s">
        <v>29</v>
      </c>
      <c r="B19" s="8" t="s">
        <v>14</v>
      </c>
      <c r="C19" s="5">
        <v>33457867</v>
      </c>
    </row>
    <row r="20" spans="1:3">
      <c r="A20" s="4" t="s">
        <v>29</v>
      </c>
      <c r="B20" s="8" t="s">
        <v>15</v>
      </c>
      <c r="C20" s="5">
        <v>36257081</v>
      </c>
    </row>
    <row r="21" spans="1:3">
      <c r="A21" s="4" t="s">
        <v>29</v>
      </c>
      <c r="B21" s="8" t="s">
        <v>16</v>
      </c>
      <c r="C21" s="5">
        <v>35797158</v>
      </c>
    </row>
    <row r="22" spans="1:3">
      <c r="A22" s="4" t="s">
        <v>29</v>
      </c>
      <c r="B22" s="8" t="s">
        <v>17</v>
      </c>
      <c r="C22" s="5">
        <v>38117331</v>
      </c>
    </row>
    <row r="23" spans="1:3">
      <c r="A23" s="4" t="s">
        <v>29</v>
      </c>
      <c r="B23" s="8" t="s">
        <v>18</v>
      </c>
      <c r="C23" s="5">
        <v>38224765</v>
      </c>
    </row>
    <row r="24" spans="1:3">
      <c r="A24" s="4" t="s">
        <v>29</v>
      </c>
      <c r="B24" s="8" t="s">
        <v>19</v>
      </c>
      <c r="C24" s="5">
        <v>37351675</v>
      </c>
    </row>
    <row r="25" spans="1:3">
      <c r="A25" s="4" t="s">
        <v>29</v>
      </c>
      <c r="B25" s="8" t="s">
        <v>20</v>
      </c>
      <c r="C25" s="5">
        <v>47157412</v>
      </c>
    </row>
    <row r="26" spans="1:3">
      <c r="A26" s="4" t="s">
        <v>29</v>
      </c>
      <c r="B26" s="8" t="s">
        <v>21</v>
      </c>
      <c r="C26" s="5">
        <v>45449554</v>
      </c>
    </row>
    <row r="27" spans="1:3">
      <c r="A27" s="4" t="s">
        <v>29</v>
      </c>
      <c r="B27" s="8" t="s">
        <v>22</v>
      </c>
      <c r="C27" s="5">
        <v>42436853</v>
      </c>
    </row>
    <row r="28" spans="1:3">
      <c r="A28" s="4" t="s">
        <v>29</v>
      </c>
      <c r="B28" s="8" t="s">
        <v>23</v>
      </c>
      <c r="C28" s="5">
        <v>44318092</v>
      </c>
    </row>
    <row r="29" spans="1:3">
      <c r="A29" s="4" t="s">
        <v>30</v>
      </c>
      <c r="B29" s="8" t="s">
        <v>12</v>
      </c>
      <c r="C29" s="5">
        <v>35347838</v>
      </c>
    </row>
    <row r="30" spans="1:3">
      <c r="A30" s="4" t="s">
        <v>30</v>
      </c>
      <c r="B30" s="8" t="s">
        <v>13</v>
      </c>
      <c r="C30" s="5">
        <v>34134298</v>
      </c>
    </row>
    <row r="31" spans="1:3">
      <c r="A31" s="4" t="s">
        <v>30</v>
      </c>
      <c r="B31" s="8" t="s">
        <v>14</v>
      </c>
      <c r="C31" s="5">
        <v>35275300</v>
      </c>
    </row>
    <row r="32" spans="1:3">
      <c r="A32" s="4" t="s">
        <v>30</v>
      </c>
      <c r="B32" s="8" t="s">
        <v>15</v>
      </c>
      <c r="C32" s="5">
        <v>36312077</v>
      </c>
    </row>
    <row r="33" spans="1:3">
      <c r="A33" s="4" t="s">
        <v>30</v>
      </c>
      <c r="B33" s="8" t="s">
        <v>16</v>
      </c>
      <c r="C33" s="5">
        <v>34162862</v>
      </c>
    </row>
    <row r="34" spans="1:3">
      <c r="A34" s="4" t="s">
        <v>30</v>
      </c>
      <c r="B34" s="8" t="s">
        <v>17</v>
      </c>
      <c r="C34" s="5">
        <v>34583093</v>
      </c>
    </row>
    <row r="35" spans="1:3">
      <c r="A35" s="4" t="s">
        <v>30</v>
      </c>
      <c r="B35" s="8" t="s">
        <v>18</v>
      </c>
      <c r="C35" s="5">
        <v>35066894</v>
      </c>
    </row>
    <row r="36" spans="1:3">
      <c r="A36" s="4" t="s">
        <v>30</v>
      </c>
      <c r="B36" s="8" t="s">
        <v>19</v>
      </c>
      <c r="C36" s="5">
        <v>35597292</v>
      </c>
    </row>
    <row r="37" spans="1:3">
      <c r="A37" s="4" t="s">
        <v>30</v>
      </c>
      <c r="B37" s="8" t="s">
        <v>20</v>
      </c>
      <c r="C37" s="5">
        <v>37004590</v>
      </c>
    </row>
    <row r="38" spans="1:3">
      <c r="A38" s="4" t="s">
        <v>30</v>
      </c>
      <c r="B38" s="8" t="s">
        <v>21</v>
      </c>
      <c r="C38" s="5">
        <v>39452580</v>
      </c>
    </row>
    <row r="39" spans="1:3">
      <c r="A39" s="4" t="s">
        <v>30</v>
      </c>
      <c r="B39" s="8" t="s">
        <v>22</v>
      </c>
      <c r="C39" s="5">
        <v>39026827</v>
      </c>
    </row>
    <row r="40" spans="1:3">
      <c r="A40" s="4" t="s">
        <v>30</v>
      </c>
      <c r="B40" s="8" t="s">
        <v>23</v>
      </c>
      <c r="C40" s="5">
        <v>39525914</v>
      </c>
    </row>
    <row r="41" spans="1:3">
      <c r="A41" s="4" t="s">
        <v>31</v>
      </c>
      <c r="B41" s="8" t="s">
        <v>12</v>
      </c>
      <c r="C41" s="5">
        <v>28075646</v>
      </c>
    </row>
    <row r="42" spans="1:3">
      <c r="A42" s="4" t="s">
        <v>31</v>
      </c>
      <c r="B42" s="8" t="s">
        <v>13</v>
      </c>
      <c r="C42" s="5">
        <v>29001274</v>
      </c>
    </row>
    <row r="43" spans="1:3">
      <c r="A43" s="4" t="s">
        <v>31</v>
      </c>
      <c r="B43" s="8" t="s">
        <v>14</v>
      </c>
      <c r="C43" s="5">
        <v>29863662</v>
      </c>
    </row>
    <row r="44" spans="1:3">
      <c r="A44" s="4" t="s">
        <v>31</v>
      </c>
      <c r="B44" s="8" t="s">
        <v>15</v>
      </c>
      <c r="C44" s="5">
        <v>30993965</v>
      </c>
    </row>
    <row r="45" spans="1:3">
      <c r="A45" s="4" t="s">
        <v>31</v>
      </c>
      <c r="B45" s="8" t="s">
        <v>16</v>
      </c>
      <c r="C45" s="5">
        <v>31715022</v>
      </c>
    </row>
    <row r="46" spans="1:3">
      <c r="A46" s="4" t="s">
        <v>31</v>
      </c>
      <c r="B46" s="8" t="s">
        <v>17</v>
      </c>
      <c r="C46" s="5">
        <v>30237571</v>
      </c>
    </row>
    <row r="47" spans="1:3">
      <c r="A47" s="4" t="s">
        <v>31</v>
      </c>
      <c r="B47" s="8" t="s">
        <v>18</v>
      </c>
      <c r="C47" s="5">
        <v>32324389</v>
      </c>
    </row>
    <row r="48" spans="1:3">
      <c r="A48" s="4" t="s">
        <v>31</v>
      </c>
      <c r="B48" s="8" t="s">
        <v>19</v>
      </c>
      <c r="C48" s="5">
        <v>32060828</v>
      </c>
    </row>
    <row r="49" spans="1:3">
      <c r="A49" s="4" t="s">
        <v>31</v>
      </c>
      <c r="B49" s="8" t="s">
        <v>20</v>
      </c>
      <c r="C49" s="5">
        <v>32066035</v>
      </c>
    </row>
    <row r="50" spans="1:3">
      <c r="A50" s="4" t="s">
        <v>31</v>
      </c>
      <c r="B50" s="8" t="s">
        <v>21</v>
      </c>
      <c r="C50" s="5">
        <v>32182924</v>
      </c>
    </row>
    <row r="51" spans="1:3">
      <c r="A51" s="4" t="s">
        <v>31</v>
      </c>
      <c r="B51" s="8" t="s">
        <v>22</v>
      </c>
      <c r="C51" s="5">
        <v>31931885</v>
      </c>
    </row>
    <row r="52" spans="1:3">
      <c r="A52" s="4" t="s">
        <v>31</v>
      </c>
      <c r="B52" s="8" t="s">
        <v>23</v>
      </c>
      <c r="C52" s="5">
        <v>31998994</v>
      </c>
    </row>
    <row r="53" spans="1:3">
      <c r="A53" s="4" t="s">
        <v>32</v>
      </c>
      <c r="B53" s="8" t="s">
        <v>12</v>
      </c>
      <c r="C53" s="5">
        <v>25672922</v>
      </c>
    </row>
    <row r="54" spans="1:3">
      <c r="A54" s="4" t="s">
        <v>32</v>
      </c>
      <c r="B54" s="8" t="s">
        <v>13</v>
      </c>
      <c r="C54" s="5">
        <v>25065406</v>
      </c>
    </row>
    <row r="55" spans="1:3">
      <c r="A55" s="4" t="s">
        <v>32</v>
      </c>
      <c r="B55" s="8" t="s">
        <v>14</v>
      </c>
      <c r="C55" s="5">
        <v>26031674</v>
      </c>
    </row>
    <row r="56" spans="1:3">
      <c r="A56" s="4" t="s">
        <v>32</v>
      </c>
      <c r="B56" s="8" t="s">
        <v>15</v>
      </c>
      <c r="C56" s="5">
        <v>26667054</v>
      </c>
    </row>
    <row r="57" spans="1:3">
      <c r="A57" s="4" t="s">
        <v>32</v>
      </c>
      <c r="B57" s="8" t="s">
        <v>16</v>
      </c>
      <c r="C57" s="5">
        <v>27633154</v>
      </c>
    </row>
    <row r="58" spans="1:3">
      <c r="A58" s="4" t="s">
        <v>32</v>
      </c>
      <c r="B58" s="8" t="s">
        <v>17</v>
      </c>
      <c r="C58" s="5">
        <v>28798186</v>
      </c>
    </row>
    <row r="59" spans="1:3">
      <c r="A59" s="4" t="s">
        <v>32</v>
      </c>
      <c r="B59" s="8" t="s">
        <v>18</v>
      </c>
      <c r="C59" s="5">
        <v>30448577</v>
      </c>
    </row>
    <row r="60" spans="1:3">
      <c r="A60" s="4" t="s">
        <v>32</v>
      </c>
      <c r="B60" s="8" t="s">
        <v>19</v>
      </c>
      <c r="C60" s="5">
        <v>29303717</v>
      </c>
    </row>
    <row r="61" spans="1:3">
      <c r="A61" s="4" t="s">
        <v>32</v>
      </c>
      <c r="B61" s="8" t="s">
        <v>20</v>
      </c>
      <c r="C61" s="5">
        <v>29921118</v>
      </c>
    </row>
    <row r="62" spans="1:3">
      <c r="A62" s="4" t="s">
        <v>32</v>
      </c>
      <c r="B62" s="8" t="s">
        <v>21</v>
      </c>
      <c r="C62" s="5">
        <v>30016367</v>
      </c>
    </row>
    <row r="63" spans="1:3">
      <c r="A63" s="4" t="s">
        <v>32</v>
      </c>
      <c r="B63" s="8" t="s">
        <v>22</v>
      </c>
      <c r="C63" s="5">
        <v>30688011</v>
      </c>
    </row>
    <row r="64" spans="1:3">
      <c r="A64" s="4" t="s">
        <v>32</v>
      </c>
      <c r="B64" s="8" t="s">
        <v>23</v>
      </c>
      <c r="C64" s="5">
        <v>31167193</v>
      </c>
    </row>
    <row r="65" spans="1:3">
      <c r="A65" s="4" t="s">
        <v>33</v>
      </c>
      <c r="B65" s="8" t="s">
        <v>12</v>
      </c>
      <c r="C65" s="5">
        <v>8077373</v>
      </c>
    </row>
    <row r="66" spans="1:3">
      <c r="A66" s="4" t="s">
        <v>33</v>
      </c>
      <c r="B66" s="8" t="s">
        <v>13</v>
      </c>
      <c r="C66" s="5">
        <v>8596165</v>
      </c>
    </row>
    <row r="67" spans="1:3">
      <c r="A67" s="4" t="s">
        <v>33</v>
      </c>
      <c r="B67" s="8" t="s">
        <v>14</v>
      </c>
      <c r="C67" s="5">
        <v>8879144</v>
      </c>
    </row>
    <row r="68" spans="1:3">
      <c r="A68" s="4" t="s">
        <v>33</v>
      </c>
      <c r="B68" s="8" t="s">
        <v>15</v>
      </c>
      <c r="C68" s="5">
        <v>9004146</v>
      </c>
    </row>
    <row r="69" spans="1:3">
      <c r="A69" s="4" t="s">
        <v>33</v>
      </c>
      <c r="B69" s="8" t="s">
        <v>16</v>
      </c>
      <c r="C69" s="5">
        <v>7400974</v>
      </c>
    </row>
    <row r="70" spans="1:3">
      <c r="A70" s="4" t="s">
        <v>33</v>
      </c>
      <c r="B70" s="8" t="s">
        <v>17</v>
      </c>
      <c r="C70" s="5">
        <v>7568219</v>
      </c>
    </row>
    <row r="71" spans="1:3">
      <c r="A71" s="4" t="s">
        <v>33</v>
      </c>
      <c r="B71" s="8" t="s">
        <v>18</v>
      </c>
      <c r="C71" s="5">
        <v>7350542</v>
      </c>
    </row>
    <row r="72" spans="1:3">
      <c r="A72" s="4" t="s">
        <v>33</v>
      </c>
      <c r="B72" s="8" t="s">
        <v>19</v>
      </c>
      <c r="C72" s="5">
        <v>7492046</v>
      </c>
    </row>
    <row r="73" spans="1:3">
      <c r="A73" s="4" t="s">
        <v>33</v>
      </c>
      <c r="B73" s="8" t="s">
        <v>20</v>
      </c>
      <c r="C73" s="5">
        <v>10757997</v>
      </c>
    </row>
    <row r="74" spans="1:3">
      <c r="A74" s="4" t="s">
        <v>33</v>
      </c>
      <c r="B74" s="8" t="s">
        <v>21</v>
      </c>
      <c r="C74" s="5">
        <v>10591872</v>
      </c>
    </row>
    <row r="75" spans="1:3">
      <c r="A75" s="4" t="s">
        <v>33</v>
      </c>
      <c r="B75" s="8" t="s">
        <v>22</v>
      </c>
      <c r="C75" s="5">
        <v>11053371</v>
      </c>
    </row>
    <row r="76" spans="1:3">
      <c r="A76" s="4" t="s">
        <v>33</v>
      </c>
      <c r="B76" s="8" t="s">
        <v>23</v>
      </c>
      <c r="C76" s="5">
        <v>10910501</v>
      </c>
    </row>
    <row r="77" spans="1:3">
      <c r="A77" s="4" t="s">
        <v>34</v>
      </c>
      <c r="B77" s="8" t="s">
        <v>12</v>
      </c>
      <c r="C77" s="5">
        <v>7997862</v>
      </c>
    </row>
    <row r="78" spans="1:3">
      <c r="A78" s="4" t="s">
        <v>34</v>
      </c>
      <c r="B78" s="8" t="s">
        <v>13</v>
      </c>
      <c r="C78" s="5">
        <v>8280146</v>
      </c>
    </row>
    <row r="79" spans="1:3">
      <c r="A79" s="4" t="s">
        <v>34</v>
      </c>
      <c r="B79" s="8" t="s">
        <v>14</v>
      </c>
      <c r="C79" s="5">
        <v>8036841</v>
      </c>
    </row>
    <row r="80" spans="1:3">
      <c r="A80" s="4" t="s">
        <v>34</v>
      </c>
      <c r="B80" s="8" t="s">
        <v>15</v>
      </c>
      <c r="C80" s="5">
        <v>8003876</v>
      </c>
    </row>
    <row r="81" spans="1:3">
      <c r="A81" s="4" t="s">
        <v>34</v>
      </c>
      <c r="B81" s="8" t="s">
        <v>16</v>
      </c>
      <c r="C81" s="5">
        <v>7797514</v>
      </c>
    </row>
    <row r="82" spans="1:3">
      <c r="A82" s="4" t="s">
        <v>34</v>
      </c>
      <c r="B82" s="8" t="s">
        <v>17</v>
      </c>
      <c r="C82" s="5">
        <v>7931033</v>
      </c>
    </row>
    <row r="83" spans="1:3">
      <c r="A83" s="4" t="s">
        <v>34</v>
      </c>
      <c r="B83" s="8" t="s">
        <v>18</v>
      </c>
      <c r="C83" s="5">
        <v>8126381</v>
      </c>
    </row>
    <row r="84" spans="1:3">
      <c r="A84" s="4" t="s">
        <v>34</v>
      </c>
      <c r="B84" s="8" t="s">
        <v>19</v>
      </c>
      <c r="C84" s="5">
        <v>8158991</v>
      </c>
    </row>
    <row r="85" spans="1:3">
      <c r="A85" s="4" t="s">
        <v>34</v>
      </c>
      <c r="B85" s="8" t="s">
        <v>20</v>
      </c>
      <c r="C85" s="5">
        <v>8240716</v>
      </c>
    </row>
    <row r="86" spans="1:3">
      <c r="A86" s="4" t="s">
        <v>34</v>
      </c>
      <c r="B86" s="8" t="s">
        <v>21</v>
      </c>
      <c r="C86" s="5">
        <v>8802895</v>
      </c>
    </row>
    <row r="87" spans="1:3">
      <c r="A87" s="4" t="s">
        <v>34</v>
      </c>
      <c r="B87" s="8" t="s">
        <v>22</v>
      </c>
      <c r="C87" s="5">
        <v>9128994</v>
      </c>
    </row>
    <row r="88" spans="1:3">
      <c r="A88" s="4" t="s">
        <v>34</v>
      </c>
      <c r="B88" s="8" t="s">
        <v>23</v>
      </c>
      <c r="C88" s="5">
        <v>8993340</v>
      </c>
    </row>
    <row r="89" spans="1:3">
      <c r="A89" s="4" t="s">
        <v>35</v>
      </c>
      <c r="B89" s="8" t="s">
        <v>12</v>
      </c>
      <c r="C89" s="5">
        <v>6997454</v>
      </c>
    </row>
    <row r="90" spans="1:3">
      <c r="A90" s="4" t="s">
        <v>35</v>
      </c>
      <c r="B90" s="8" t="s">
        <v>13</v>
      </c>
      <c r="C90" s="5">
        <v>7271125</v>
      </c>
    </row>
    <row r="91" spans="1:3">
      <c r="A91" s="4" t="s">
        <v>35</v>
      </c>
      <c r="B91" s="8" t="s">
        <v>14</v>
      </c>
      <c r="C91" s="5">
        <v>7524972</v>
      </c>
    </row>
    <row r="92" spans="1:3">
      <c r="A92" s="4" t="s">
        <v>35</v>
      </c>
      <c r="B92" s="8" t="s">
        <v>15</v>
      </c>
      <c r="C92" s="5">
        <v>7380986</v>
      </c>
    </row>
    <row r="93" spans="1:3">
      <c r="A93" s="4" t="s">
        <v>35</v>
      </c>
      <c r="B93" s="8" t="s">
        <v>16</v>
      </c>
      <c r="C93" s="5">
        <v>6942357</v>
      </c>
    </row>
    <row r="94" spans="1:3">
      <c r="A94" s="4" t="s">
        <v>35</v>
      </c>
      <c r="B94" s="8" t="s">
        <v>17</v>
      </c>
      <c r="C94" s="5">
        <v>6805558</v>
      </c>
    </row>
    <row r="95" spans="1:3">
      <c r="A95" s="4" t="s">
        <v>35</v>
      </c>
      <c r="B95" s="8" t="s">
        <v>18</v>
      </c>
      <c r="C95" s="5">
        <v>6758979</v>
      </c>
    </row>
    <row r="96" spans="1:3">
      <c r="A96" s="4" t="s">
        <v>35</v>
      </c>
      <c r="B96" s="8" t="s">
        <v>19</v>
      </c>
      <c r="C96" s="5">
        <v>7178540</v>
      </c>
    </row>
    <row r="97" spans="1:3">
      <c r="A97" s="4" t="s">
        <v>35</v>
      </c>
      <c r="B97" s="8" t="s">
        <v>20</v>
      </c>
      <c r="C97" s="5">
        <v>6826905</v>
      </c>
    </row>
    <row r="98" spans="1:3">
      <c r="A98" s="4" t="s">
        <v>35</v>
      </c>
      <c r="B98" s="8" t="s">
        <v>21</v>
      </c>
      <c r="C98" s="5">
        <v>7246281</v>
      </c>
    </row>
    <row r="99" spans="1:3">
      <c r="A99" s="4" t="s">
        <v>35</v>
      </c>
      <c r="B99" s="8" t="s">
        <v>22</v>
      </c>
      <c r="C99" s="5">
        <v>7179242</v>
      </c>
    </row>
    <row r="100" spans="1:3">
      <c r="A100" s="4" t="s">
        <v>35</v>
      </c>
      <c r="B100" s="8" t="s">
        <v>23</v>
      </c>
      <c r="C100" s="5">
        <v>8234306</v>
      </c>
    </row>
    <row r="101" spans="1:3">
      <c r="A101" s="4" t="s">
        <v>36</v>
      </c>
      <c r="B101" s="8" t="s">
        <v>12</v>
      </c>
      <c r="C101" s="5">
        <v>9714566</v>
      </c>
    </row>
    <row r="102" spans="1:3">
      <c r="A102" s="4" t="s">
        <v>36</v>
      </c>
      <c r="B102" s="8" t="s">
        <v>13</v>
      </c>
      <c r="C102" s="5">
        <v>8124863</v>
      </c>
    </row>
    <row r="103" spans="1:3">
      <c r="A103" s="4" t="s">
        <v>36</v>
      </c>
      <c r="B103" s="8" t="s">
        <v>14</v>
      </c>
      <c r="C103" s="5">
        <v>5892021</v>
      </c>
    </row>
    <row r="104" spans="1:3">
      <c r="A104" s="4" t="s">
        <v>36</v>
      </c>
      <c r="B104" s="8" t="s">
        <v>15</v>
      </c>
      <c r="C104" s="5">
        <v>5916339</v>
      </c>
    </row>
    <row r="105" spans="1:3">
      <c r="A105" s="4" t="s">
        <v>36</v>
      </c>
      <c r="B105" s="8" t="s">
        <v>16</v>
      </c>
      <c r="C105" s="5">
        <v>5889210</v>
      </c>
    </row>
    <row r="106" spans="1:3">
      <c r="A106" s="4" t="s">
        <v>36</v>
      </c>
      <c r="B106" s="8" t="s">
        <v>17</v>
      </c>
      <c r="C106" s="5">
        <v>5765759</v>
      </c>
    </row>
    <row r="107" spans="1:3">
      <c r="A107" s="4" t="s">
        <v>36</v>
      </c>
      <c r="B107" s="8" t="s">
        <v>18</v>
      </c>
      <c r="C107" s="5">
        <v>5755449</v>
      </c>
    </row>
    <row r="108" spans="1:3">
      <c r="A108" s="4" t="s">
        <v>36</v>
      </c>
      <c r="B108" s="8" t="s">
        <v>19</v>
      </c>
      <c r="C108" s="5">
        <v>5731856</v>
      </c>
    </row>
    <row r="109" spans="1:3">
      <c r="A109" s="4" t="s">
        <v>36</v>
      </c>
      <c r="B109" s="8" t="s">
        <v>20</v>
      </c>
      <c r="C109" s="5">
        <v>5146306</v>
      </c>
    </row>
    <row r="110" spans="1:3">
      <c r="A110" s="4" t="s">
        <v>36</v>
      </c>
      <c r="B110" s="8" t="s">
        <v>21</v>
      </c>
      <c r="C110" s="5">
        <v>5009167</v>
      </c>
    </row>
    <row r="111" spans="1:3">
      <c r="A111" s="4" t="s">
        <v>36</v>
      </c>
      <c r="B111" s="8" t="s">
        <v>22</v>
      </c>
      <c r="C111" s="5">
        <v>5866087</v>
      </c>
    </row>
    <row r="112" spans="1:3">
      <c r="A112" s="4" t="s">
        <v>36</v>
      </c>
      <c r="B112" s="8" t="s">
        <v>23</v>
      </c>
      <c r="C112" s="5">
        <v>8248559</v>
      </c>
    </row>
    <row r="113" spans="1:3">
      <c r="A113" s="4" t="s">
        <v>37</v>
      </c>
      <c r="B113" s="8" t="s">
        <v>12</v>
      </c>
      <c r="C113" s="5">
        <v>3566105</v>
      </c>
    </row>
    <row r="114" spans="1:3">
      <c r="A114" s="4" t="s">
        <v>37</v>
      </c>
      <c r="B114" s="8" t="s">
        <v>13</v>
      </c>
      <c r="C114" s="5">
        <v>3598831</v>
      </c>
    </row>
    <row r="115" spans="1:3">
      <c r="A115" s="4" t="s">
        <v>37</v>
      </c>
      <c r="B115" s="8" t="s">
        <v>14</v>
      </c>
      <c r="C115" s="5">
        <v>3556506</v>
      </c>
    </row>
    <row r="116" spans="1:3">
      <c r="A116" s="4" t="s">
        <v>37</v>
      </c>
      <c r="B116" s="8" t="s">
        <v>15</v>
      </c>
      <c r="C116" s="5">
        <v>3611727</v>
      </c>
    </row>
    <row r="117" spans="1:3">
      <c r="A117" s="4" t="s">
        <v>37</v>
      </c>
      <c r="B117" s="8" t="s">
        <v>16</v>
      </c>
      <c r="C117" s="5">
        <v>3570499</v>
      </c>
    </row>
    <row r="118" spans="1:3">
      <c r="A118" s="4" t="s">
        <v>37</v>
      </c>
      <c r="B118" s="8" t="s">
        <v>17</v>
      </c>
      <c r="C118" s="5">
        <v>3501961</v>
      </c>
    </row>
    <row r="119" spans="1:3">
      <c r="A119" s="4" t="s">
        <v>37</v>
      </c>
      <c r="B119" s="8" t="s">
        <v>18</v>
      </c>
      <c r="C119" s="5">
        <v>3646861</v>
      </c>
    </row>
    <row r="120" spans="1:3">
      <c r="A120" s="4" t="s">
        <v>37</v>
      </c>
      <c r="B120" s="8" t="s">
        <v>19</v>
      </c>
      <c r="C120" s="5">
        <v>3508871</v>
      </c>
    </row>
    <row r="121" spans="1:3">
      <c r="A121" s="4" t="s">
        <v>37</v>
      </c>
      <c r="B121" s="8" t="s">
        <v>20</v>
      </c>
      <c r="C121" s="5">
        <v>3519013</v>
      </c>
    </row>
    <row r="122" spans="1:3">
      <c r="A122" s="4" t="s">
        <v>37</v>
      </c>
      <c r="B122" s="8" t="s">
        <v>21</v>
      </c>
      <c r="C122" s="5">
        <v>3538027</v>
      </c>
    </row>
    <row r="123" spans="1:3">
      <c r="A123" s="4" t="s">
        <v>37</v>
      </c>
      <c r="B123" s="8" t="s">
        <v>22</v>
      </c>
      <c r="C123" s="5">
        <v>3376544</v>
      </c>
    </row>
    <row r="124" spans="1:3">
      <c r="A124" s="4" t="s">
        <v>37</v>
      </c>
      <c r="B124" s="8" t="s">
        <v>23</v>
      </c>
      <c r="C124" s="5">
        <v>3599087</v>
      </c>
    </row>
    <row r="125" spans="1:3">
      <c r="A125" s="4" t="s">
        <v>38</v>
      </c>
      <c r="B125" s="8" t="s">
        <v>12</v>
      </c>
      <c r="C125" s="5">
        <v>2110882</v>
      </c>
    </row>
    <row r="126" spans="1:3">
      <c r="A126" s="4" t="s">
        <v>38</v>
      </c>
      <c r="B126" s="8" t="s">
        <v>13</v>
      </c>
      <c r="C126" s="5">
        <v>2288914</v>
      </c>
    </row>
    <row r="127" spans="1:3">
      <c r="A127" s="4" t="s">
        <v>38</v>
      </c>
      <c r="B127" s="8" t="s">
        <v>14</v>
      </c>
      <c r="C127" s="5">
        <v>2267061</v>
      </c>
    </row>
    <row r="128" spans="1:3">
      <c r="A128" s="4" t="s">
        <v>38</v>
      </c>
      <c r="B128" s="8" t="s">
        <v>15</v>
      </c>
      <c r="C128" s="5">
        <v>2388446</v>
      </c>
    </row>
    <row r="129" spans="1:3">
      <c r="A129" s="4" t="s">
        <v>38</v>
      </c>
      <c r="B129" s="8" t="s">
        <v>16</v>
      </c>
      <c r="C129" s="5">
        <v>2594182</v>
      </c>
    </row>
    <row r="130" spans="1:3">
      <c r="A130" s="4" t="s">
        <v>38</v>
      </c>
      <c r="B130" s="8" t="s">
        <v>17</v>
      </c>
      <c r="C130" s="5">
        <v>2654171</v>
      </c>
    </row>
    <row r="131" spans="1:3">
      <c r="A131" s="4" t="s">
        <v>38</v>
      </c>
      <c r="B131" s="8" t="s">
        <v>18</v>
      </c>
      <c r="C131" s="5">
        <v>2822026</v>
      </c>
    </row>
    <row r="132" spans="1:3">
      <c r="A132" s="4" t="s">
        <v>38</v>
      </c>
      <c r="B132" s="8" t="s">
        <v>19</v>
      </c>
      <c r="C132" s="5">
        <v>2884298</v>
      </c>
    </row>
    <row r="133" spans="1:3">
      <c r="A133" s="4" t="s">
        <v>38</v>
      </c>
      <c r="B133" s="8" t="s">
        <v>20</v>
      </c>
      <c r="C133" s="5">
        <v>2807267</v>
      </c>
    </row>
    <row r="134" spans="1:3">
      <c r="A134" s="4" t="s">
        <v>38</v>
      </c>
      <c r="B134" s="8" t="s">
        <v>21</v>
      </c>
      <c r="C134" s="5">
        <v>2890116</v>
      </c>
    </row>
    <row r="135" spans="1:3">
      <c r="A135" s="4" t="s">
        <v>38</v>
      </c>
      <c r="B135" s="8" t="s">
        <v>22</v>
      </c>
      <c r="C135" s="5">
        <v>2967830</v>
      </c>
    </row>
    <row r="136" spans="1:3">
      <c r="A136" s="4" t="s">
        <v>38</v>
      </c>
      <c r="B136" s="8" t="s">
        <v>23</v>
      </c>
      <c r="C136" s="5">
        <v>3143887</v>
      </c>
    </row>
    <row r="137" spans="1:3">
      <c r="A137" s="4" t="s">
        <v>39</v>
      </c>
      <c r="B137" s="8" t="s">
        <v>12</v>
      </c>
      <c r="C137" s="5">
        <v>2396174</v>
      </c>
    </row>
    <row r="138" spans="1:3">
      <c r="A138" s="4" t="s">
        <v>39</v>
      </c>
      <c r="B138" s="8" t="s">
        <v>13</v>
      </c>
      <c r="C138" s="5">
        <v>2501061</v>
      </c>
    </row>
    <row r="139" spans="1:3">
      <c r="A139" s="4" t="s">
        <v>39</v>
      </c>
      <c r="B139" s="8" t="s">
        <v>14</v>
      </c>
      <c r="C139" s="5">
        <v>2362198</v>
      </c>
    </row>
    <row r="140" spans="1:3">
      <c r="A140" s="4" t="s">
        <v>39</v>
      </c>
      <c r="B140" s="8" t="s">
        <v>15</v>
      </c>
      <c r="C140" s="5">
        <v>2418535</v>
      </c>
    </row>
    <row r="141" spans="1:3">
      <c r="A141" s="4" t="s">
        <v>39</v>
      </c>
      <c r="B141" s="8" t="s">
        <v>16</v>
      </c>
      <c r="C141" s="5">
        <v>2357592</v>
      </c>
    </row>
    <row r="142" spans="1:3">
      <c r="A142" s="4" t="s">
        <v>39</v>
      </c>
      <c r="B142" s="8" t="s">
        <v>17</v>
      </c>
      <c r="C142" s="5">
        <v>2341962</v>
      </c>
    </row>
    <row r="143" spans="1:3">
      <c r="A143" s="4" t="s">
        <v>39</v>
      </c>
      <c r="B143" s="8" t="s">
        <v>18</v>
      </c>
      <c r="C143" s="5">
        <v>2350307</v>
      </c>
    </row>
    <row r="144" spans="1:3">
      <c r="A144" s="4" t="s">
        <v>39</v>
      </c>
      <c r="B144" s="8" t="s">
        <v>19</v>
      </c>
      <c r="C144" s="5">
        <v>2535513</v>
      </c>
    </row>
    <row r="145" spans="1:3">
      <c r="A145" s="4" t="s">
        <v>39</v>
      </c>
      <c r="B145" s="8" t="s">
        <v>20</v>
      </c>
      <c r="C145" s="5">
        <v>2668821</v>
      </c>
    </row>
    <row r="146" spans="1:3">
      <c r="A146" s="4" t="s">
        <v>39</v>
      </c>
      <c r="B146" s="8" t="s">
        <v>21</v>
      </c>
      <c r="C146" s="5">
        <v>2708388</v>
      </c>
    </row>
    <row r="147" spans="1:3">
      <c r="A147" s="4" t="s">
        <v>39</v>
      </c>
      <c r="B147" s="8" t="s">
        <v>22</v>
      </c>
      <c r="C147" s="5">
        <v>2653272</v>
      </c>
    </row>
    <row r="148" spans="1:3">
      <c r="A148" s="4" t="s">
        <v>39</v>
      </c>
      <c r="B148" s="8" t="s">
        <v>23</v>
      </c>
      <c r="C148" s="5">
        <v>2717487</v>
      </c>
    </row>
    <row r="149" spans="1:3">
      <c r="A149" s="4" t="s">
        <v>40</v>
      </c>
      <c r="B149" s="8" t="s">
        <v>12</v>
      </c>
      <c r="C149" s="5">
        <v>2386337</v>
      </c>
    </row>
    <row r="150" spans="1:3">
      <c r="A150" s="4" t="s">
        <v>40</v>
      </c>
      <c r="B150" s="8" t="s">
        <v>13</v>
      </c>
      <c r="C150" s="5">
        <v>2475180</v>
      </c>
    </row>
    <row r="151" spans="1:3">
      <c r="A151" s="4" t="s">
        <v>40</v>
      </c>
      <c r="B151" s="8" t="s">
        <v>14</v>
      </c>
      <c r="C151" s="5">
        <v>2661578</v>
      </c>
    </row>
    <row r="152" spans="1:3">
      <c r="A152" s="4" t="s">
        <v>40</v>
      </c>
      <c r="B152" s="8" t="s">
        <v>15</v>
      </c>
      <c r="C152" s="5">
        <v>2722965</v>
      </c>
    </row>
    <row r="153" spans="1:3">
      <c r="A153" s="4" t="s">
        <v>40</v>
      </c>
      <c r="B153" s="8" t="s">
        <v>16</v>
      </c>
      <c r="C153" s="5">
        <v>2518439</v>
      </c>
    </row>
    <row r="154" spans="1:3">
      <c r="A154" s="4" t="s">
        <v>40</v>
      </c>
      <c r="B154" s="8" t="s">
        <v>17</v>
      </c>
      <c r="C154" s="5">
        <v>2328592</v>
      </c>
    </row>
    <row r="155" spans="1:3">
      <c r="A155" s="4" t="s">
        <v>40</v>
      </c>
      <c r="B155" s="8" t="s">
        <v>18</v>
      </c>
      <c r="C155" s="5">
        <v>2348872</v>
      </c>
    </row>
    <row r="156" spans="1:3">
      <c r="A156" s="4" t="s">
        <v>40</v>
      </c>
      <c r="B156" s="8" t="s">
        <v>19</v>
      </c>
      <c r="C156" s="5">
        <v>2444772</v>
      </c>
    </row>
    <row r="157" spans="1:3">
      <c r="A157" s="4" t="s">
        <v>40</v>
      </c>
      <c r="B157" s="8" t="s">
        <v>20</v>
      </c>
      <c r="C157" s="5">
        <v>2506026</v>
      </c>
    </row>
    <row r="158" spans="1:3">
      <c r="A158" s="4" t="s">
        <v>40</v>
      </c>
      <c r="B158" s="8" t="s">
        <v>21</v>
      </c>
      <c r="C158" s="5">
        <v>2543962</v>
      </c>
    </row>
    <row r="159" spans="1:3">
      <c r="A159" s="4" t="s">
        <v>40</v>
      </c>
      <c r="B159" s="8" t="s">
        <v>22</v>
      </c>
      <c r="C159" s="5">
        <v>2420259</v>
      </c>
    </row>
    <row r="160" spans="1:3">
      <c r="A160" s="4" t="s">
        <v>40</v>
      </c>
      <c r="B160" s="8" t="s">
        <v>23</v>
      </c>
      <c r="C160" s="5">
        <v>2287901</v>
      </c>
    </row>
    <row r="161" spans="1:3">
      <c r="A161" s="4" t="s">
        <v>41</v>
      </c>
      <c r="B161" s="8" t="s">
        <v>12</v>
      </c>
      <c r="C161" s="5">
        <v>2190019</v>
      </c>
    </row>
    <row r="162" spans="1:3">
      <c r="A162" s="4" t="s">
        <v>41</v>
      </c>
      <c r="B162" s="8" t="s">
        <v>13</v>
      </c>
      <c r="C162" s="5">
        <v>2322367</v>
      </c>
    </row>
    <row r="163" spans="1:3">
      <c r="A163" s="4" t="s">
        <v>41</v>
      </c>
      <c r="B163" s="8" t="s">
        <v>14</v>
      </c>
      <c r="C163" s="5">
        <v>2341212</v>
      </c>
    </row>
    <row r="164" spans="1:3">
      <c r="A164" s="4" t="s">
        <v>41</v>
      </c>
      <c r="B164" s="8" t="s">
        <v>15</v>
      </c>
      <c r="C164" s="5">
        <v>2452171</v>
      </c>
    </row>
    <row r="165" spans="1:3">
      <c r="A165" s="4" t="s">
        <v>41</v>
      </c>
      <c r="B165" s="8" t="s">
        <v>16</v>
      </c>
      <c r="C165" s="5">
        <v>2422935</v>
      </c>
    </row>
    <row r="166" spans="1:3">
      <c r="A166" s="4" t="s">
        <v>41</v>
      </c>
      <c r="B166" s="8" t="s">
        <v>17</v>
      </c>
      <c r="C166" s="5">
        <v>2350623</v>
      </c>
    </row>
    <row r="167" spans="1:3">
      <c r="A167" s="4" t="s">
        <v>41</v>
      </c>
      <c r="B167" s="8" t="s">
        <v>18</v>
      </c>
      <c r="C167" s="5">
        <v>2419584</v>
      </c>
    </row>
    <row r="168" spans="1:3">
      <c r="A168" s="4" t="s">
        <v>41</v>
      </c>
      <c r="B168" s="8" t="s">
        <v>19</v>
      </c>
      <c r="C168" s="5">
        <v>2401359</v>
      </c>
    </row>
    <row r="169" spans="1:3">
      <c r="A169" s="4" t="s">
        <v>41</v>
      </c>
      <c r="B169" s="8" t="s">
        <v>20</v>
      </c>
      <c r="C169" s="5">
        <v>2572736</v>
      </c>
    </row>
    <row r="170" spans="1:3">
      <c r="A170" s="4" t="s">
        <v>41</v>
      </c>
      <c r="B170" s="8" t="s">
        <v>21</v>
      </c>
      <c r="C170" s="5">
        <v>2638537</v>
      </c>
    </row>
    <row r="171" spans="1:3">
      <c r="A171" s="4" t="s">
        <v>41</v>
      </c>
      <c r="B171" s="8" t="s">
        <v>22</v>
      </c>
      <c r="C171" s="5">
        <v>1943085</v>
      </c>
    </row>
    <row r="172" spans="1:3">
      <c r="A172" s="4" t="s">
        <v>41</v>
      </c>
      <c r="B172" s="8" t="s">
        <v>23</v>
      </c>
      <c r="C172" s="5">
        <v>1934423</v>
      </c>
    </row>
    <row r="173" spans="1:3">
      <c r="A173" s="4" t="s">
        <v>42</v>
      </c>
      <c r="B173" s="8" t="s">
        <v>12</v>
      </c>
      <c r="C173" s="5">
        <v>2786427</v>
      </c>
    </row>
    <row r="174" spans="1:3">
      <c r="A174" s="4" t="s">
        <v>42</v>
      </c>
      <c r="B174" s="8" t="s">
        <v>13</v>
      </c>
      <c r="C174" s="5">
        <v>2839710</v>
      </c>
    </row>
    <row r="175" spans="1:3">
      <c r="A175" s="4" t="s">
        <v>42</v>
      </c>
      <c r="B175" s="8" t="s">
        <v>14</v>
      </c>
      <c r="C175" s="5">
        <v>2773743</v>
      </c>
    </row>
    <row r="176" spans="1:3">
      <c r="A176" s="4" t="s">
        <v>42</v>
      </c>
      <c r="B176" s="8" t="s">
        <v>15</v>
      </c>
      <c r="C176" s="5">
        <v>2967936</v>
      </c>
    </row>
    <row r="177" spans="1:3">
      <c r="A177" s="4" t="s">
        <v>42</v>
      </c>
      <c r="B177" s="8" t="s">
        <v>16</v>
      </c>
      <c r="C177" s="5">
        <v>2967824</v>
      </c>
    </row>
    <row r="178" spans="1:3">
      <c r="A178" s="4" t="s">
        <v>42</v>
      </c>
      <c r="B178" s="8" t="s">
        <v>17</v>
      </c>
      <c r="C178" s="5">
        <v>2545305</v>
      </c>
    </row>
    <row r="179" spans="1:3">
      <c r="A179" s="4" t="s">
        <v>42</v>
      </c>
      <c r="B179" s="8" t="s">
        <v>18</v>
      </c>
      <c r="C179" s="5">
        <v>1499886</v>
      </c>
    </row>
    <row r="180" spans="1:3">
      <c r="A180" s="4" t="s">
        <v>42</v>
      </c>
      <c r="B180" s="8" t="s">
        <v>19</v>
      </c>
      <c r="C180" s="5">
        <v>1125043</v>
      </c>
    </row>
    <row r="181" spans="1:3">
      <c r="A181" s="4" t="s">
        <v>42</v>
      </c>
      <c r="B181" s="8" t="s">
        <v>20</v>
      </c>
      <c r="C181" s="5">
        <v>1123282</v>
      </c>
    </row>
    <row r="182" spans="1:3">
      <c r="A182" s="4" t="s">
        <v>42</v>
      </c>
      <c r="B182" s="8" t="s">
        <v>21</v>
      </c>
      <c r="C182" s="5">
        <v>1106774</v>
      </c>
    </row>
    <row r="183" spans="1:3">
      <c r="A183" s="4" t="s">
        <v>42</v>
      </c>
      <c r="B183" s="8" t="s">
        <v>22</v>
      </c>
      <c r="C183" s="5">
        <v>988514</v>
      </c>
    </row>
    <row r="184" spans="1:3">
      <c r="A184" s="4" t="s">
        <v>42</v>
      </c>
      <c r="B184" s="8" t="s">
        <v>23</v>
      </c>
      <c r="C184" s="5">
        <v>1068648</v>
      </c>
    </row>
    <row r="185" spans="1:3">
      <c r="A185" s="4" t="s">
        <v>43</v>
      </c>
      <c r="B185" s="8" t="s">
        <v>12</v>
      </c>
      <c r="C185" s="5">
        <v>1614326</v>
      </c>
    </row>
    <row r="186" spans="1:3">
      <c r="A186" s="4" t="s">
        <v>43</v>
      </c>
      <c r="B186" s="8" t="s">
        <v>13</v>
      </c>
      <c r="C186" s="5">
        <v>1596637</v>
      </c>
    </row>
    <row r="187" spans="1:3">
      <c r="A187" s="4" t="s">
        <v>43</v>
      </c>
      <c r="B187" s="8" t="s">
        <v>14</v>
      </c>
      <c r="C187" s="5">
        <v>1759399</v>
      </c>
    </row>
    <row r="188" spans="1:3">
      <c r="A188" s="4" t="s">
        <v>43</v>
      </c>
      <c r="B188" s="8" t="s">
        <v>15</v>
      </c>
      <c r="C188" s="5">
        <v>1834267</v>
      </c>
    </row>
    <row r="189" spans="1:3">
      <c r="A189" s="4" t="s">
        <v>43</v>
      </c>
      <c r="B189" s="8" t="s">
        <v>16</v>
      </c>
      <c r="C189" s="5">
        <v>1924422</v>
      </c>
    </row>
    <row r="190" spans="1:3">
      <c r="A190" s="4" t="s">
        <v>43</v>
      </c>
      <c r="B190" s="8" t="s">
        <v>17</v>
      </c>
      <c r="C190" s="5">
        <v>2012432</v>
      </c>
    </row>
    <row r="191" spans="1:3">
      <c r="A191" s="4" t="s">
        <v>43</v>
      </c>
      <c r="B191" s="8" t="s">
        <v>18</v>
      </c>
      <c r="C191" s="5">
        <v>2050737</v>
      </c>
    </row>
    <row r="192" spans="1:3">
      <c r="A192" s="4" t="s">
        <v>43</v>
      </c>
      <c r="B192" s="8" t="s">
        <v>19</v>
      </c>
      <c r="C192" s="5">
        <v>2003891</v>
      </c>
    </row>
    <row r="193" spans="1:3">
      <c r="A193" s="4" t="s">
        <v>43</v>
      </c>
      <c r="B193" s="8" t="s">
        <v>20</v>
      </c>
      <c r="C193" s="5">
        <v>2016388</v>
      </c>
    </row>
    <row r="194" spans="1:3">
      <c r="A194" s="4" t="s">
        <v>43</v>
      </c>
      <c r="B194" s="8" t="s">
        <v>21</v>
      </c>
      <c r="C194" s="5">
        <v>1979517</v>
      </c>
    </row>
    <row r="195" spans="1:3">
      <c r="A195" s="4" t="s">
        <v>43</v>
      </c>
      <c r="B195" s="8" t="s">
        <v>22</v>
      </c>
      <c r="C195" s="5">
        <v>2030354</v>
      </c>
    </row>
    <row r="196" spans="1:3">
      <c r="A196" s="4" t="s">
        <v>43</v>
      </c>
      <c r="B196" s="8" t="s">
        <v>23</v>
      </c>
      <c r="C196" s="5">
        <v>2033850</v>
      </c>
    </row>
    <row r="197" spans="1:3">
      <c r="A197" s="4" t="s">
        <v>44</v>
      </c>
      <c r="B197" s="8" t="s">
        <v>12</v>
      </c>
      <c r="C197" s="5">
        <v>2127932</v>
      </c>
    </row>
    <row r="198" spans="1:3">
      <c r="A198" s="4" t="s">
        <v>44</v>
      </c>
      <c r="B198" s="8" t="s">
        <v>13</v>
      </c>
      <c r="C198" s="5">
        <v>2778650</v>
      </c>
    </row>
    <row r="199" spans="1:3">
      <c r="A199" s="4" t="s">
        <v>44</v>
      </c>
      <c r="B199" s="8" t="s">
        <v>14</v>
      </c>
      <c r="C199" s="5">
        <v>1917806</v>
      </c>
    </row>
    <row r="200" spans="1:3">
      <c r="A200" s="4" t="s">
        <v>44</v>
      </c>
      <c r="B200" s="8" t="s">
        <v>15</v>
      </c>
      <c r="C200" s="5">
        <v>1633565</v>
      </c>
    </row>
    <row r="201" spans="1:3">
      <c r="A201" s="4" t="s">
        <v>44</v>
      </c>
      <c r="B201" s="8" t="s">
        <v>16</v>
      </c>
      <c r="C201" s="5">
        <v>1067160</v>
      </c>
    </row>
    <row r="202" spans="1:3">
      <c r="A202" s="4" t="s">
        <v>44</v>
      </c>
      <c r="B202" s="8" t="s">
        <v>17</v>
      </c>
      <c r="C202" s="5">
        <v>1090650</v>
      </c>
    </row>
    <row r="203" spans="1:3">
      <c r="A203" s="4" t="s">
        <v>44</v>
      </c>
      <c r="B203" s="8" t="s">
        <v>18</v>
      </c>
      <c r="C203" s="5">
        <v>879924</v>
      </c>
    </row>
    <row r="204" spans="1:3">
      <c r="A204" s="4" t="s">
        <v>44</v>
      </c>
      <c r="B204" s="8" t="s">
        <v>19</v>
      </c>
      <c r="C204" s="5">
        <v>1120082</v>
      </c>
    </row>
    <row r="205" spans="1:3">
      <c r="A205" s="4" t="s">
        <v>44</v>
      </c>
      <c r="B205" s="8" t="s">
        <v>20</v>
      </c>
      <c r="C205" s="5">
        <v>1101479</v>
      </c>
    </row>
    <row r="206" spans="1:3">
      <c r="A206" s="4" t="s">
        <v>44</v>
      </c>
      <c r="B206" s="8" t="s">
        <v>21</v>
      </c>
      <c r="C206" s="5">
        <v>1081477</v>
      </c>
    </row>
    <row r="207" spans="1:3">
      <c r="A207" s="4" t="s">
        <v>44</v>
      </c>
      <c r="B207" s="8" t="s">
        <v>22</v>
      </c>
      <c r="C207" s="5">
        <v>1111387</v>
      </c>
    </row>
    <row r="208" spans="1:3">
      <c r="A208" s="4" t="s">
        <v>44</v>
      </c>
      <c r="B208" s="8" t="s">
        <v>23</v>
      </c>
      <c r="C208" s="5">
        <v>1174345</v>
      </c>
    </row>
    <row r="209" spans="1:3">
      <c r="A209" s="4" t="s">
        <v>45</v>
      </c>
      <c r="B209" s="8" t="s">
        <v>12</v>
      </c>
      <c r="C209" s="5">
        <v>1169766</v>
      </c>
    </row>
    <row r="210" spans="1:3">
      <c r="A210" s="4" t="s">
        <v>45</v>
      </c>
      <c r="B210" s="8" t="s">
        <v>13</v>
      </c>
      <c r="C210" s="5">
        <v>1177519</v>
      </c>
    </row>
    <row r="211" spans="1:3">
      <c r="A211" s="4" t="s">
        <v>45</v>
      </c>
      <c r="B211" s="8" t="s">
        <v>14</v>
      </c>
      <c r="C211" s="5">
        <v>1245538</v>
      </c>
    </row>
    <row r="212" spans="1:3">
      <c r="A212" s="4" t="s">
        <v>45</v>
      </c>
      <c r="B212" s="8" t="s">
        <v>15</v>
      </c>
      <c r="C212" s="5">
        <v>1304806</v>
      </c>
    </row>
    <row r="213" spans="1:3">
      <c r="A213" s="4" t="s">
        <v>45</v>
      </c>
      <c r="B213" s="8" t="s">
        <v>16</v>
      </c>
      <c r="C213" s="5">
        <v>1350819</v>
      </c>
    </row>
    <row r="214" spans="1:3">
      <c r="A214" s="4" t="s">
        <v>45</v>
      </c>
      <c r="B214" s="8" t="s">
        <v>17</v>
      </c>
      <c r="C214" s="5">
        <v>1351203</v>
      </c>
    </row>
    <row r="215" spans="1:3">
      <c r="A215" s="4" t="s">
        <v>45</v>
      </c>
      <c r="B215" s="8" t="s">
        <v>18</v>
      </c>
      <c r="C215" s="5">
        <v>1350429</v>
      </c>
    </row>
    <row r="216" spans="1:3">
      <c r="A216" s="4" t="s">
        <v>45</v>
      </c>
      <c r="B216" s="8" t="s">
        <v>19</v>
      </c>
      <c r="C216" s="5">
        <v>1345838</v>
      </c>
    </row>
    <row r="217" spans="1:3">
      <c r="A217" s="4" t="s">
        <v>45</v>
      </c>
      <c r="B217" s="8" t="s">
        <v>20</v>
      </c>
      <c r="C217" s="5">
        <v>1492676</v>
      </c>
    </row>
    <row r="218" spans="1:3">
      <c r="A218" s="4" t="s">
        <v>45</v>
      </c>
      <c r="B218" s="8" t="s">
        <v>21</v>
      </c>
      <c r="C218" s="5">
        <v>1510044</v>
      </c>
    </row>
    <row r="219" spans="1:3">
      <c r="A219" s="4" t="s">
        <v>45</v>
      </c>
      <c r="B219" s="8" t="s">
        <v>22</v>
      </c>
      <c r="C219" s="5">
        <v>1464069</v>
      </c>
    </row>
    <row r="220" spans="1:3">
      <c r="A220" s="4" t="s">
        <v>45</v>
      </c>
      <c r="B220" s="8" t="s">
        <v>23</v>
      </c>
      <c r="C220" s="5">
        <v>1464487</v>
      </c>
    </row>
    <row r="221" spans="1:3">
      <c r="A221" s="4" t="s">
        <v>46</v>
      </c>
      <c r="B221" s="8" t="s">
        <v>12</v>
      </c>
      <c r="C221" s="5">
        <v>1547740</v>
      </c>
    </row>
    <row r="222" spans="1:3">
      <c r="A222" s="4" t="s">
        <v>46</v>
      </c>
      <c r="B222" s="8" t="s">
        <v>13</v>
      </c>
      <c r="C222" s="5">
        <v>1196469</v>
      </c>
    </row>
    <row r="223" spans="1:3">
      <c r="A223" s="4" t="s">
        <v>46</v>
      </c>
      <c r="B223" s="8" t="s">
        <v>14</v>
      </c>
      <c r="C223" s="5">
        <v>1262110</v>
      </c>
    </row>
    <row r="224" spans="1:3">
      <c r="A224" s="4" t="s">
        <v>46</v>
      </c>
      <c r="B224" s="8" t="s">
        <v>15</v>
      </c>
      <c r="C224" s="5">
        <v>1303123</v>
      </c>
    </row>
    <row r="225" spans="1:3">
      <c r="A225" s="4" t="s">
        <v>46</v>
      </c>
      <c r="B225" s="8" t="s">
        <v>16</v>
      </c>
      <c r="C225" s="5">
        <v>1302114</v>
      </c>
    </row>
    <row r="226" spans="1:3">
      <c r="A226" s="4" t="s">
        <v>46</v>
      </c>
      <c r="B226" s="8" t="s">
        <v>17</v>
      </c>
      <c r="C226" s="5">
        <v>1287930</v>
      </c>
    </row>
    <row r="227" spans="1:3">
      <c r="A227" s="4" t="s">
        <v>46</v>
      </c>
      <c r="B227" s="8" t="s">
        <v>18</v>
      </c>
      <c r="C227" s="5">
        <v>1321649</v>
      </c>
    </row>
    <row r="228" spans="1:3">
      <c r="A228" s="4" t="s">
        <v>46</v>
      </c>
      <c r="B228" s="8" t="s">
        <v>19</v>
      </c>
      <c r="C228" s="5">
        <v>1295139</v>
      </c>
    </row>
    <row r="229" spans="1:3">
      <c r="A229" s="4" t="s">
        <v>46</v>
      </c>
      <c r="B229" s="8" t="s">
        <v>20</v>
      </c>
      <c r="C229" s="5">
        <v>1347329</v>
      </c>
    </row>
    <row r="230" spans="1:3">
      <c r="A230" s="4" t="s">
        <v>46</v>
      </c>
      <c r="B230" s="8" t="s">
        <v>21</v>
      </c>
      <c r="C230" s="5">
        <v>1335621</v>
      </c>
    </row>
    <row r="231" spans="1:3">
      <c r="A231" s="4" t="s">
        <v>46</v>
      </c>
      <c r="B231" s="8" t="s">
        <v>22</v>
      </c>
      <c r="C231" s="5">
        <v>1335233</v>
      </c>
    </row>
    <row r="232" spans="1:3">
      <c r="A232" s="4" t="s">
        <v>46</v>
      </c>
      <c r="B232" s="8" t="s">
        <v>23</v>
      </c>
      <c r="C232" s="5">
        <v>1395481</v>
      </c>
    </row>
    <row r="233" spans="1:3">
      <c r="A233" s="4" t="s">
        <v>47</v>
      </c>
      <c r="B233" s="8" t="s">
        <v>12</v>
      </c>
      <c r="C233" s="5">
        <v>1055993</v>
      </c>
    </row>
    <row r="234" spans="1:3">
      <c r="A234" s="4" t="s">
        <v>47</v>
      </c>
      <c r="B234" s="8" t="s">
        <v>13</v>
      </c>
      <c r="C234" s="5">
        <v>1080228</v>
      </c>
    </row>
    <row r="235" spans="1:3">
      <c r="A235" s="4" t="s">
        <v>47</v>
      </c>
      <c r="B235" s="8" t="s">
        <v>14</v>
      </c>
      <c r="C235" s="5">
        <v>1115579</v>
      </c>
    </row>
    <row r="236" spans="1:3">
      <c r="A236" s="4" t="s">
        <v>47</v>
      </c>
      <c r="B236" s="8" t="s">
        <v>15</v>
      </c>
      <c r="C236" s="5">
        <v>1115724</v>
      </c>
    </row>
    <row r="237" spans="1:3">
      <c r="A237" s="4" t="s">
        <v>47</v>
      </c>
      <c r="B237" s="8" t="s">
        <v>16</v>
      </c>
      <c r="C237" s="5">
        <v>1157065</v>
      </c>
    </row>
    <row r="238" spans="1:3">
      <c r="A238" s="4" t="s">
        <v>47</v>
      </c>
      <c r="B238" s="8" t="s">
        <v>17</v>
      </c>
      <c r="C238" s="5">
        <v>1208379</v>
      </c>
    </row>
    <row r="239" spans="1:3">
      <c r="A239" s="4" t="s">
        <v>47</v>
      </c>
      <c r="B239" s="8" t="s">
        <v>18</v>
      </c>
      <c r="C239" s="5">
        <v>1253019</v>
      </c>
    </row>
    <row r="240" spans="1:3">
      <c r="A240" s="4" t="s">
        <v>47</v>
      </c>
      <c r="B240" s="8" t="s">
        <v>19</v>
      </c>
      <c r="C240" s="5">
        <v>1238858</v>
      </c>
    </row>
    <row r="241" spans="1:3">
      <c r="A241" s="4" t="s">
        <v>47</v>
      </c>
      <c r="B241" s="8" t="s">
        <v>20</v>
      </c>
      <c r="C241" s="5">
        <v>1261690</v>
      </c>
    </row>
    <row r="242" spans="1:3">
      <c r="A242" s="4" t="s">
        <v>47</v>
      </c>
      <c r="B242" s="8" t="s">
        <v>21</v>
      </c>
      <c r="C242" s="5">
        <v>1233901</v>
      </c>
    </row>
    <row r="243" spans="1:3">
      <c r="A243" s="4" t="s">
        <v>47</v>
      </c>
      <c r="B243" s="8" t="s">
        <v>22</v>
      </c>
      <c r="C243" s="5">
        <v>1254852</v>
      </c>
    </row>
    <row r="244" spans="1:3">
      <c r="A244" s="4" t="s">
        <v>47</v>
      </c>
      <c r="B244" s="8" t="s">
        <v>23</v>
      </c>
      <c r="C244" s="5">
        <v>1213573</v>
      </c>
    </row>
    <row r="245" spans="1:3">
      <c r="A245" s="4" t="s">
        <v>48</v>
      </c>
      <c r="B245" s="8" t="s">
        <v>12</v>
      </c>
      <c r="C245" s="5">
        <v>48972</v>
      </c>
    </row>
    <row r="246" spans="1:3">
      <c r="A246" s="4" t="s">
        <v>48</v>
      </c>
      <c r="B246" s="8" t="s">
        <v>13</v>
      </c>
      <c r="C246" s="5">
        <v>48972</v>
      </c>
    </row>
    <row r="247" spans="1:3">
      <c r="A247" s="4" t="s">
        <v>48</v>
      </c>
      <c r="B247" s="8" t="s">
        <v>14</v>
      </c>
      <c r="C247" s="5">
        <v>48972</v>
      </c>
    </row>
    <row r="248" spans="1:3">
      <c r="A248" s="4" t="s">
        <v>48</v>
      </c>
      <c r="B248" s="8" t="s">
        <v>15</v>
      </c>
      <c r="C248" s="5">
        <v>48972</v>
      </c>
    </row>
    <row r="249" spans="1:3">
      <c r="A249" s="4" t="s">
        <v>48</v>
      </c>
      <c r="B249" s="8" t="s">
        <v>16</v>
      </c>
      <c r="C249" s="5">
        <v>48972</v>
      </c>
    </row>
    <row r="250" spans="1:3">
      <c r="A250" s="4" t="s">
        <v>48</v>
      </c>
      <c r="B250" s="8" t="s">
        <v>17</v>
      </c>
      <c r="C250" s="5">
        <v>48961</v>
      </c>
    </row>
    <row r="251" spans="1:3">
      <c r="A251" s="4" t="s">
        <v>48</v>
      </c>
      <c r="B251" s="8" t="s">
        <v>18</v>
      </c>
      <c r="C251" s="5">
        <v>48972</v>
      </c>
    </row>
    <row r="252" spans="1:3">
      <c r="A252" s="4" t="s">
        <v>48</v>
      </c>
      <c r="B252" s="8" t="s">
        <v>19</v>
      </c>
      <c r="C252" s="5">
        <v>48972</v>
      </c>
    </row>
    <row r="253" spans="1:3">
      <c r="A253" s="4" t="s">
        <v>48</v>
      </c>
      <c r="B253" s="8" t="s">
        <v>20</v>
      </c>
      <c r="C253" s="5">
        <v>48972</v>
      </c>
    </row>
    <row r="254" spans="1:3">
      <c r="A254" s="4" t="s">
        <v>48</v>
      </c>
      <c r="B254" s="8" t="s">
        <v>21</v>
      </c>
      <c r="C254" s="5">
        <v>48972</v>
      </c>
    </row>
    <row r="255" spans="1:3">
      <c r="A255" s="4" t="s">
        <v>48</v>
      </c>
      <c r="B255" s="8" t="s">
        <v>22</v>
      </c>
      <c r="C255" s="5">
        <v>48972</v>
      </c>
    </row>
    <row r="256" spans="1:3">
      <c r="A256" s="4" t="s">
        <v>48</v>
      </c>
      <c r="B256" s="8" t="s">
        <v>23</v>
      </c>
      <c r="C256" s="5">
        <v>48972</v>
      </c>
    </row>
    <row r="257" spans="1:3">
      <c r="A257" s="4" t="s">
        <v>49</v>
      </c>
      <c r="B257" s="8" t="s">
        <v>12</v>
      </c>
      <c r="C257" s="5">
        <v>0</v>
      </c>
    </row>
    <row r="258" spans="1:3">
      <c r="A258" s="4" t="s">
        <v>49</v>
      </c>
      <c r="B258" s="8" t="s">
        <v>13</v>
      </c>
      <c r="C258" s="5">
        <v>8581</v>
      </c>
    </row>
    <row r="259" spans="1:3">
      <c r="A259" s="4" t="s">
        <v>49</v>
      </c>
      <c r="B259" s="8" t="s">
        <v>14</v>
      </c>
      <c r="C259" s="5">
        <v>26615</v>
      </c>
    </row>
    <row r="260" spans="1:3">
      <c r="A260" s="4" t="s">
        <v>49</v>
      </c>
      <c r="B260" s="8" t="s">
        <v>15</v>
      </c>
      <c r="C260" s="5">
        <v>33283</v>
      </c>
    </row>
    <row r="261" spans="1:3">
      <c r="A261" s="4" t="s">
        <v>49</v>
      </c>
      <c r="B261" s="8" t="s">
        <v>16</v>
      </c>
      <c r="C261" s="5">
        <v>48883</v>
      </c>
    </row>
    <row r="262" spans="1:3">
      <c r="A262" s="4" t="s">
        <v>49</v>
      </c>
      <c r="B262" s="8" t="s">
        <v>17</v>
      </c>
      <c r="C262" s="5">
        <v>65456</v>
      </c>
    </row>
    <row r="263" spans="1:3">
      <c r="A263" s="4" t="s">
        <v>49</v>
      </c>
      <c r="B263" s="8" t="s">
        <v>18</v>
      </c>
      <c r="C263" s="5">
        <v>64416</v>
      </c>
    </row>
    <row r="264" spans="1:3">
      <c r="A264" s="4" t="s">
        <v>49</v>
      </c>
      <c r="B264" s="8" t="s">
        <v>19</v>
      </c>
      <c r="C264" s="5">
        <v>66566</v>
      </c>
    </row>
    <row r="265" spans="1:3">
      <c r="A265" s="4" t="s">
        <v>49</v>
      </c>
      <c r="B265" s="8" t="s">
        <v>20</v>
      </c>
      <c r="C265" s="5">
        <v>66566</v>
      </c>
    </row>
    <row r="266" spans="1:3">
      <c r="A266" s="4" t="s">
        <v>49</v>
      </c>
      <c r="B266" s="8" t="s">
        <v>21</v>
      </c>
      <c r="C266" s="5">
        <v>64419</v>
      </c>
    </row>
    <row r="267" spans="1:3">
      <c r="A267" s="4" t="s">
        <v>49</v>
      </c>
      <c r="B267" s="8" t="s">
        <v>22</v>
      </c>
      <c r="C267" s="5">
        <v>66566</v>
      </c>
    </row>
    <row r="268" spans="1:3">
      <c r="A268" s="4" t="s">
        <v>49</v>
      </c>
      <c r="B268" s="8" t="s">
        <v>23</v>
      </c>
      <c r="C268" s="5">
        <v>64419</v>
      </c>
    </row>
    <row r="269" spans="1:3">
      <c r="A269" s="4" t="s">
        <v>50</v>
      </c>
      <c r="B269" s="8" t="s">
        <v>12</v>
      </c>
      <c r="C269" s="5">
        <v>48335</v>
      </c>
    </row>
    <row r="270" spans="1:3">
      <c r="A270" s="4" t="s">
        <v>50</v>
      </c>
      <c r="B270" s="8" t="s">
        <v>13</v>
      </c>
      <c r="C270" s="5">
        <v>48683</v>
      </c>
    </row>
    <row r="271" spans="1:3">
      <c r="A271" s="4" t="s">
        <v>50</v>
      </c>
      <c r="B271" s="8" t="s">
        <v>14</v>
      </c>
      <c r="C271" s="5">
        <v>48683</v>
      </c>
    </row>
    <row r="272" spans="1:3">
      <c r="A272" s="4" t="s">
        <v>50</v>
      </c>
      <c r="B272" s="8" t="s">
        <v>15</v>
      </c>
      <c r="C272" s="5">
        <v>49516</v>
      </c>
    </row>
    <row r="273" spans="1:3">
      <c r="A273" s="4" t="s">
        <v>50</v>
      </c>
      <c r="B273" s="8" t="s">
        <v>16</v>
      </c>
      <c r="C273" s="5">
        <v>53659</v>
      </c>
    </row>
    <row r="274" spans="1:3">
      <c r="A274" s="4" t="s">
        <v>50</v>
      </c>
      <c r="B274" s="8" t="s">
        <v>17</v>
      </c>
      <c r="C274" s="5">
        <v>49521</v>
      </c>
    </row>
    <row r="275" spans="1:3">
      <c r="A275" s="4" t="s">
        <v>50</v>
      </c>
      <c r="B275" s="8" t="s">
        <v>18</v>
      </c>
      <c r="C275" s="5">
        <v>49333</v>
      </c>
    </row>
    <row r="276" spans="1:3">
      <c r="A276" s="4" t="s">
        <v>50</v>
      </c>
      <c r="B276" s="8" t="s">
        <v>19</v>
      </c>
      <c r="C276" s="5">
        <v>42044</v>
      </c>
    </row>
    <row r="277" spans="1:3">
      <c r="A277" s="4" t="s">
        <v>50</v>
      </c>
      <c r="B277" s="8" t="s">
        <v>20</v>
      </c>
      <c r="C277" s="5">
        <v>32853</v>
      </c>
    </row>
    <row r="278" spans="1:3">
      <c r="A278" s="4" t="s">
        <v>50</v>
      </c>
      <c r="B278" s="8" t="s">
        <v>21</v>
      </c>
      <c r="C278" s="5">
        <v>32363</v>
      </c>
    </row>
    <row r="279" spans="1:3">
      <c r="A279" s="4" t="s">
        <v>50</v>
      </c>
      <c r="B279" s="8" t="s">
        <v>22</v>
      </c>
      <c r="C279" s="5">
        <v>32863</v>
      </c>
    </row>
    <row r="280" spans="1:3">
      <c r="A280" s="4" t="s">
        <v>50</v>
      </c>
      <c r="B280" s="8" t="s">
        <v>23</v>
      </c>
      <c r="C280" s="5">
        <v>32175</v>
      </c>
    </row>
    <row r="281" spans="1:3">
      <c r="A281" s="4" t="s">
        <v>51</v>
      </c>
      <c r="B281" s="8" t="s">
        <v>12</v>
      </c>
      <c r="C281" s="5">
        <v>13724</v>
      </c>
    </row>
    <row r="282" spans="1:3">
      <c r="A282" s="4" t="s">
        <v>51</v>
      </c>
      <c r="B282" s="8" t="s">
        <v>13</v>
      </c>
      <c r="C282" s="5">
        <v>13724</v>
      </c>
    </row>
    <row r="283" spans="1:3">
      <c r="A283" s="4" t="s">
        <v>51</v>
      </c>
      <c r="B283" s="8" t="s">
        <v>14</v>
      </c>
      <c r="C283" s="5">
        <v>13709</v>
      </c>
    </row>
    <row r="284" spans="1:3">
      <c r="A284" s="4" t="s">
        <v>51</v>
      </c>
      <c r="B284" s="8" t="s">
        <v>15</v>
      </c>
      <c r="C284" s="5">
        <v>13724</v>
      </c>
    </row>
    <row r="285" spans="1:3">
      <c r="A285" s="4" t="s">
        <v>51</v>
      </c>
      <c r="B285" s="8" t="s">
        <v>16</v>
      </c>
      <c r="C285" s="5">
        <v>13724</v>
      </c>
    </row>
    <row r="286" spans="1:3">
      <c r="A286" s="4" t="s">
        <v>51</v>
      </c>
      <c r="B286" s="8" t="s">
        <v>17</v>
      </c>
      <c r="C286" s="5">
        <v>40387</v>
      </c>
    </row>
    <row r="287" spans="1:3">
      <c r="A287" s="4" t="s">
        <v>51</v>
      </c>
      <c r="B287" s="8" t="s">
        <v>18</v>
      </c>
      <c r="C287" s="5">
        <v>55829</v>
      </c>
    </row>
    <row r="288" spans="1:3">
      <c r="A288" s="4" t="s">
        <v>51</v>
      </c>
      <c r="B288" s="8" t="s">
        <v>19</v>
      </c>
      <c r="C288" s="5">
        <v>44162</v>
      </c>
    </row>
    <row r="289" spans="1:3">
      <c r="A289" s="4" t="s">
        <v>51</v>
      </c>
      <c r="B289" s="8" t="s">
        <v>20</v>
      </c>
      <c r="C289" s="5">
        <v>44132</v>
      </c>
    </row>
    <row r="290" spans="1:3">
      <c r="A290" s="4" t="s">
        <v>51</v>
      </c>
      <c r="B290" s="8" t="s">
        <v>21</v>
      </c>
      <c r="C290" s="5">
        <v>46429</v>
      </c>
    </row>
    <row r="291" spans="1:3">
      <c r="A291" s="4" t="s">
        <v>51</v>
      </c>
      <c r="B291" s="8" t="s">
        <v>22</v>
      </c>
      <c r="C291" s="5">
        <v>46438</v>
      </c>
    </row>
    <row r="292" spans="1:3">
      <c r="A292" s="4" t="s">
        <v>51</v>
      </c>
      <c r="B292" s="8" t="s">
        <v>23</v>
      </c>
      <c r="C292" s="5">
        <v>46438</v>
      </c>
    </row>
    <row r="293" spans="1:3">
      <c r="A293" s="4" t="s">
        <v>52</v>
      </c>
      <c r="B293" s="8" t="s">
        <v>12</v>
      </c>
      <c r="C293" s="5">
        <v>15128</v>
      </c>
    </row>
    <row r="294" spans="1:3">
      <c r="A294" s="4" t="s">
        <v>52</v>
      </c>
      <c r="B294" s="8" t="s">
        <v>13</v>
      </c>
      <c r="C294" s="5">
        <v>15128</v>
      </c>
    </row>
    <row r="295" spans="1:3">
      <c r="A295" s="4" t="s">
        <v>52</v>
      </c>
      <c r="B295" s="8" t="s">
        <v>14</v>
      </c>
      <c r="C295" s="5">
        <v>15068</v>
      </c>
    </row>
    <row r="296" spans="1:3">
      <c r="A296" s="4" t="s">
        <v>52</v>
      </c>
      <c r="B296" s="8" t="s">
        <v>15</v>
      </c>
      <c r="C296" s="5">
        <v>15128</v>
      </c>
    </row>
    <row r="297" spans="1:3">
      <c r="A297" s="4" t="s">
        <v>52</v>
      </c>
      <c r="B297" s="8" t="s">
        <v>16</v>
      </c>
      <c r="C297" s="5">
        <v>15128</v>
      </c>
    </row>
    <row r="298" spans="1:3">
      <c r="A298" s="4" t="s">
        <v>52</v>
      </c>
      <c r="B298" s="8" t="s">
        <v>17</v>
      </c>
      <c r="C298" s="5">
        <v>15408</v>
      </c>
    </row>
    <row r="299" spans="1:3">
      <c r="A299" s="4" t="s">
        <v>52</v>
      </c>
      <c r="B299" s="8" t="s">
        <v>18</v>
      </c>
      <c r="C299" s="5">
        <v>15408</v>
      </c>
    </row>
    <row r="300" spans="1:3">
      <c r="A300" s="4" t="s">
        <v>52</v>
      </c>
      <c r="B300" s="8" t="s">
        <v>19</v>
      </c>
      <c r="C300" s="5">
        <v>15408</v>
      </c>
    </row>
    <row r="301" spans="1:3">
      <c r="A301" s="4" t="s">
        <v>52</v>
      </c>
      <c r="B301" s="8" t="s">
        <v>20</v>
      </c>
      <c r="C301" s="5">
        <v>15348</v>
      </c>
    </row>
    <row r="302" spans="1:3">
      <c r="A302" s="4" t="s">
        <v>52</v>
      </c>
      <c r="B302" s="8" t="s">
        <v>21</v>
      </c>
      <c r="C302" s="5">
        <v>0</v>
      </c>
    </row>
    <row r="303" spans="1:3">
      <c r="A303" s="4" t="s">
        <v>52</v>
      </c>
      <c r="B303" s="8" t="s">
        <v>22</v>
      </c>
      <c r="C303" s="5">
        <v>0</v>
      </c>
    </row>
    <row r="304" spans="1:3">
      <c r="A304" s="4" t="s">
        <v>52</v>
      </c>
      <c r="B304" s="8" t="s">
        <v>23</v>
      </c>
      <c r="C304" s="5">
        <v>0</v>
      </c>
    </row>
    <row r="305" spans="1:3">
      <c r="A305" s="4" t="s">
        <v>53</v>
      </c>
      <c r="B305" s="8" t="s">
        <v>12</v>
      </c>
      <c r="C305" s="5">
        <v>10159</v>
      </c>
    </row>
    <row r="306" spans="1:3">
      <c r="A306" s="4" t="s">
        <v>53</v>
      </c>
      <c r="B306" s="8" t="s">
        <v>13</v>
      </c>
      <c r="C306" s="5">
        <v>10159</v>
      </c>
    </row>
    <row r="307" spans="1:3">
      <c r="A307" s="4" t="s">
        <v>53</v>
      </c>
      <c r="B307" s="8" t="s">
        <v>14</v>
      </c>
      <c r="C307" s="5">
        <v>10159</v>
      </c>
    </row>
    <row r="308" spans="1:3">
      <c r="A308" s="4" t="s">
        <v>53</v>
      </c>
      <c r="B308" s="8" t="s">
        <v>15</v>
      </c>
      <c r="C308" s="5">
        <v>10159</v>
      </c>
    </row>
    <row r="309" spans="1:3">
      <c r="A309" s="4" t="s">
        <v>53</v>
      </c>
      <c r="B309" s="8" t="s">
        <v>16</v>
      </c>
      <c r="C309" s="5">
        <v>10159</v>
      </c>
    </row>
    <row r="310" spans="1:3">
      <c r="A310" s="4" t="s">
        <v>53</v>
      </c>
      <c r="B310" s="8" t="s">
        <v>17</v>
      </c>
      <c r="C310" s="5">
        <v>0</v>
      </c>
    </row>
    <row r="311" spans="1:3">
      <c r="A311" s="4" t="s">
        <v>53</v>
      </c>
      <c r="B311" s="8" t="s">
        <v>18</v>
      </c>
      <c r="C311" s="5">
        <v>0</v>
      </c>
    </row>
    <row r="312" spans="1:3">
      <c r="A312" s="4" t="s">
        <v>53</v>
      </c>
      <c r="B312" s="8" t="s">
        <v>19</v>
      </c>
      <c r="C312" s="5">
        <v>0</v>
      </c>
    </row>
    <row r="313" spans="1:3">
      <c r="A313" s="4" t="s">
        <v>53</v>
      </c>
      <c r="B313" s="8" t="s">
        <v>20</v>
      </c>
      <c r="C313" s="5">
        <v>0</v>
      </c>
    </row>
    <row r="314" spans="1:3">
      <c r="A314" s="4" t="s">
        <v>53</v>
      </c>
      <c r="B314" s="8" t="s">
        <v>21</v>
      </c>
      <c r="C314" s="5">
        <v>0</v>
      </c>
    </row>
    <row r="315" spans="1:3">
      <c r="A315" s="4" t="s">
        <v>53</v>
      </c>
      <c r="B315" s="8" t="s">
        <v>22</v>
      </c>
      <c r="C315" s="5">
        <v>0</v>
      </c>
    </row>
    <row r="316" spans="1:3">
      <c r="A316" s="4" t="s">
        <v>53</v>
      </c>
      <c r="B316" s="8" t="s">
        <v>23</v>
      </c>
      <c r="C316" s="5">
        <v>0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4" width="13.7109375" customWidth="1"/>
  </cols>
  <sheetData>
    <row r="1" spans="1:14" ht="26" customHeight="1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" customHeight="1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3" t="s">
        <v>27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56</v>
      </c>
    </row>
    <row r="5" spans="1:14">
      <c r="A5" s="4" t="s">
        <v>28</v>
      </c>
      <c r="B5" s="5">
        <f>SUMIFS('Pivot Data (tidy)'!$C$5:$C$316,'Pivot Data (tidy)'!$A$5:$A$316,$A5,'Pivot Data (tidy)'!$B$5:$B$316,B$4)</f>
        <v>51961960</v>
      </c>
      <c r="C5" s="5">
        <f>SUMIFS('Pivot Data (tidy)'!$C$5:$C$316,'Pivot Data (tidy)'!$A$5:$A$316,$A5,'Pivot Data (tidy)'!$B$5:$B$316,C$4)</f>
        <v>52952440</v>
      </c>
      <c r="D5" s="5">
        <f>SUMIFS('Pivot Data (tidy)'!$C$5:$C$316,'Pivot Data (tidy)'!$A$5:$A$316,$A5,'Pivot Data (tidy)'!$B$5:$B$316,D$4)</f>
        <v>54551276</v>
      </c>
      <c r="E5" s="5">
        <f>SUMIFS('Pivot Data (tidy)'!$C$5:$C$316,'Pivot Data (tidy)'!$A$5:$A$316,$A5,'Pivot Data (tidy)'!$B$5:$B$316,E$4)</f>
        <v>56635359</v>
      </c>
      <c r="F5" s="5">
        <f>SUMIFS('Pivot Data (tidy)'!$C$5:$C$316,'Pivot Data (tidy)'!$A$5:$A$316,$A5,'Pivot Data (tidy)'!$B$5:$B$316,F$4)</f>
        <v>56407706</v>
      </c>
      <c r="G5" s="5">
        <f>SUMIFS('Pivot Data (tidy)'!$C$5:$C$316,'Pivot Data (tidy)'!$A$5:$A$316,$A5,'Pivot Data (tidy)'!$B$5:$B$316,G$4)</f>
        <v>57790286</v>
      </c>
      <c r="H5" s="5">
        <f>SUMIFS('Pivot Data (tidy)'!$C$5:$C$316,'Pivot Data (tidy)'!$A$5:$A$316,$A5,'Pivot Data (tidy)'!$B$5:$B$316,H$4)</f>
        <v>56032640</v>
      </c>
      <c r="I5" s="5">
        <f>SUMIFS('Pivot Data (tidy)'!$C$5:$C$316,'Pivot Data (tidy)'!$A$5:$A$316,$A5,'Pivot Data (tidy)'!$B$5:$B$316,I$4)</f>
        <v>54694417</v>
      </c>
      <c r="J5" s="5">
        <f>SUMIFS('Pivot Data (tidy)'!$C$5:$C$316,'Pivot Data (tidy)'!$A$5:$A$316,$A5,'Pivot Data (tidy)'!$B$5:$B$316,J$4)</f>
        <v>57158128</v>
      </c>
      <c r="K5" s="5">
        <f>SUMIFS('Pivot Data (tidy)'!$C$5:$C$316,'Pivot Data (tidy)'!$A$5:$A$316,$A5,'Pivot Data (tidy)'!$B$5:$B$316,K$4)</f>
        <v>57978729</v>
      </c>
      <c r="L5" s="5">
        <f>SUMIFS('Pivot Data (tidy)'!$C$5:$C$316,'Pivot Data (tidy)'!$A$5:$A$316,$A5,'Pivot Data (tidy)'!$B$5:$B$316,L$4)</f>
        <v>58556182</v>
      </c>
      <c r="M5" s="5">
        <f>SUMIFS('Pivot Data (tidy)'!$C$5:$C$316,'Pivot Data (tidy)'!$A$5:$A$316,$A5,'Pivot Data (tidy)'!$B$5:$B$316,M$4)</f>
        <v>57908184</v>
      </c>
      <c r="N5" s="9">
        <f>SUM(B5:M5)</f>
        <v>672627307</v>
      </c>
    </row>
    <row r="6" spans="1:14">
      <c r="A6" s="4" t="s">
        <v>29</v>
      </c>
      <c r="B6" s="5">
        <f>SUMIFS('Pivot Data (tidy)'!$C$5:$C$316,'Pivot Data (tidy)'!$A$5:$A$316,$A6,'Pivot Data (tidy)'!$B$5:$B$316,B$4)</f>
        <v>32756246</v>
      </c>
      <c r="C6" s="5">
        <f>SUMIFS('Pivot Data (tidy)'!$C$5:$C$316,'Pivot Data (tidy)'!$A$5:$A$316,$A6,'Pivot Data (tidy)'!$B$5:$B$316,C$4)</f>
        <v>34675704</v>
      </c>
      <c r="D6" s="5">
        <f>SUMIFS('Pivot Data (tidy)'!$C$5:$C$316,'Pivot Data (tidy)'!$A$5:$A$316,$A6,'Pivot Data (tidy)'!$B$5:$B$316,D$4)</f>
        <v>33457867</v>
      </c>
      <c r="E6" s="5">
        <f>SUMIFS('Pivot Data (tidy)'!$C$5:$C$316,'Pivot Data (tidy)'!$A$5:$A$316,$A6,'Pivot Data (tidy)'!$B$5:$B$316,E$4)</f>
        <v>36257081</v>
      </c>
      <c r="F6" s="5">
        <f>SUMIFS('Pivot Data (tidy)'!$C$5:$C$316,'Pivot Data (tidy)'!$A$5:$A$316,$A6,'Pivot Data (tidy)'!$B$5:$B$316,F$4)</f>
        <v>35797158</v>
      </c>
      <c r="G6" s="5">
        <f>SUMIFS('Pivot Data (tidy)'!$C$5:$C$316,'Pivot Data (tidy)'!$A$5:$A$316,$A6,'Pivot Data (tidy)'!$B$5:$B$316,G$4)</f>
        <v>38117331</v>
      </c>
      <c r="H6" s="5">
        <f>SUMIFS('Pivot Data (tidy)'!$C$5:$C$316,'Pivot Data (tidy)'!$A$5:$A$316,$A6,'Pivot Data (tidy)'!$B$5:$B$316,H$4)</f>
        <v>38224765</v>
      </c>
      <c r="I6" s="5">
        <f>SUMIFS('Pivot Data (tidy)'!$C$5:$C$316,'Pivot Data (tidy)'!$A$5:$A$316,$A6,'Pivot Data (tidy)'!$B$5:$B$316,I$4)</f>
        <v>37351675</v>
      </c>
      <c r="J6" s="5">
        <f>SUMIFS('Pivot Data (tidy)'!$C$5:$C$316,'Pivot Data (tidy)'!$A$5:$A$316,$A6,'Pivot Data (tidy)'!$B$5:$B$316,J$4)</f>
        <v>47157412</v>
      </c>
      <c r="K6" s="5">
        <f>SUMIFS('Pivot Data (tidy)'!$C$5:$C$316,'Pivot Data (tidy)'!$A$5:$A$316,$A6,'Pivot Data (tidy)'!$B$5:$B$316,K$4)</f>
        <v>45449554</v>
      </c>
      <c r="L6" s="5">
        <f>SUMIFS('Pivot Data (tidy)'!$C$5:$C$316,'Pivot Data (tidy)'!$A$5:$A$316,$A6,'Pivot Data (tidy)'!$B$5:$B$316,L$4)</f>
        <v>42436853</v>
      </c>
      <c r="M6" s="5">
        <f>SUMIFS('Pivot Data (tidy)'!$C$5:$C$316,'Pivot Data (tidy)'!$A$5:$A$316,$A6,'Pivot Data (tidy)'!$B$5:$B$316,M$4)</f>
        <v>44318092</v>
      </c>
      <c r="N6" s="9">
        <f>SUM(B6:M6)</f>
        <v>465999738</v>
      </c>
    </row>
    <row r="7" spans="1:14">
      <c r="A7" s="4" t="s">
        <v>30</v>
      </c>
      <c r="B7" s="5">
        <f>SUMIFS('Pivot Data (tidy)'!$C$5:$C$316,'Pivot Data (tidy)'!$A$5:$A$316,$A7,'Pivot Data (tidy)'!$B$5:$B$316,B$4)</f>
        <v>35347838</v>
      </c>
      <c r="C7" s="5">
        <f>SUMIFS('Pivot Data (tidy)'!$C$5:$C$316,'Pivot Data (tidy)'!$A$5:$A$316,$A7,'Pivot Data (tidy)'!$B$5:$B$316,C$4)</f>
        <v>34134298</v>
      </c>
      <c r="D7" s="5">
        <f>SUMIFS('Pivot Data (tidy)'!$C$5:$C$316,'Pivot Data (tidy)'!$A$5:$A$316,$A7,'Pivot Data (tidy)'!$B$5:$B$316,D$4)</f>
        <v>35275300</v>
      </c>
      <c r="E7" s="5">
        <f>SUMIFS('Pivot Data (tidy)'!$C$5:$C$316,'Pivot Data (tidy)'!$A$5:$A$316,$A7,'Pivot Data (tidy)'!$B$5:$B$316,E$4)</f>
        <v>36312077</v>
      </c>
      <c r="F7" s="5">
        <f>SUMIFS('Pivot Data (tidy)'!$C$5:$C$316,'Pivot Data (tidy)'!$A$5:$A$316,$A7,'Pivot Data (tidy)'!$B$5:$B$316,F$4)</f>
        <v>34162862</v>
      </c>
      <c r="G7" s="5">
        <f>SUMIFS('Pivot Data (tidy)'!$C$5:$C$316,'Pivot Data (tidy)'!$A$5:$A$316,$A7,'Pivot Data (tidy)'!$B$5:$B$316,G$4)</f>
        <v>34583093</v>
      </c>
      <c r="H7" s="5">
        <f>SUMIFS('Pivot Data (tidy)'!$C$5:$C$316,'Pivot Data (tidy)'!$A$5:$A$316,$A7,'Pivot Data (tidy)'!$B$5:$B$316,H$4)</f>
        <v>35066894</v>
      </c>
      <c r="I7" s="5">
        <f>SUMIFS('Pivot Data (tidy)'!$C$5:$C$316,'Pivot Data (tidy)'!$A$5:$A$316,$A7,'Pivot Data (tidy)'!$B$5:$B$316,I$4)</f>
        <v>35597292</v>
      </c>
      <c r="J7" s="5">
        <f>SUMIFS('Pivot Data (tidy)'!$C$5:$C$316,'Pivot Data (tidy)'!$A$5:$A$316,$A7,'Pivot Data (tidy)'!$B$5:$B$316,J$4)</f>
        <v>37004590</v>
      </c>
      <c r="K7" s="5">
        <f>SUMIFS('Pivot Data (tidy)'!$C$5:$C$316,'Pivot Data (tidy)'!$A$5:$A$316,$A7,'Pivot Data (tidy)'!$B$5:$B$316,K$4)</f>
        <v>39452580</v>
      </c>
      <c r="L7" s="5">
        <f>SUMIFS('Pivot Data (tidy)'!$C$5:$C$316,'Pivot Data (tidy)'!$A$5:$A$316,$A7,'Pivot Data (tidy)'!$B$5:$B$316,L$4)</f>
        <v>39026827</v>
      </c>
      <c r="M7" s="5">
        <f>SUMIFS('Pivot Data (tidy)'!$C$5:$C$316,'Pivot Data (tidy)'!$A$5:$A$316,$A7,'Pivot Data (tidy)'!$B$5:$B$316,M$4)</f>
        <v>39525914</v>
      </c>
      <c r="N7" s="9">
        <f>SUM(B7:M7)</f>
        <v>435489565</v>
      </c>
    </row>
    <row r="8" spans="1:14">
      <c r="A8" s="4" t="s">
        <v>31</v>
      </c>
      <c r="B8" s="5">
        <f>SUMIFS('Pivot Data (tidy)'!$C$5:$C$316,'Pivot Data (tidy)'!$A$5:$A$316,$A8,'Pivot Data (tidy)'!$B$5:$B$316,B$4)</f>
        <v>28075646</v>
      </c>
      <c r="C8" s="5">
        <f>SUMIFS('Pivot Data (tidy)'!$C$5:$C$316,'Pivot Data (tidy)'!$A$5:$A$316,$A8,'Pivot Data (tidy)'!$B$5:$B$316,C$4)</f>
        <v>29001274</v>
      </c>
      <c r="D8" s="5">
        <f>SUMIFS('Pivot Data (tidy)'!$C$5:$C$316,'Pivot Data (tidy)'!$A$5:$A$316,$A8,'Pivot Data (tidy)'!$B$5:$B$316,D$4)</f>
        <v>29863662</v>
      </c>
      <c r="E8" s="5">
        <f>SUMIFS('Pivot Data (tidy)'!$C$5:$C$316,'Pivot Data (tidy)'!$A$5:$A$316,$A8,'Pivot Data (tidy)'!$B$5:$B$316,E$4)</f>
        <v>30993965</v>
      </c>
      <c r="F8" s="5">
        <f>SUMIFS('Pivot Data (tidy)'!$C$5:$C$316,'Pivot Data (tidy)'!$A$5:$A$316,$A8,'Pivot Data (tidy)'!$B$5:$B$316,F$4)</f>
        <v>31715022</v>
      </c>
      <c r="G8" s="5">
        <f>SUMIFS('Pivot Data (tidy)'!$C$5:$C$316,'Pivot Data (tidy)'!$A$5:$A$316,$A8,'Pivot Data (tidy)'!$B$5:$B$316,G$4)</f>
        <v>30237571</v>
      </c>
      <c r="H8" s="5">
        <f>SUMIFS('Pivot Data (tidy)'!$C$5:$C$316,'Pivot Data (tidy)'!$A$5:$A$316,$A8,'Pivot Data (tidy)'!$B$5:$B$316,H$4)</f>
        <v>32324389</v>
      </c>
      <c r="I8" s="5">
        <f>SUMIFS('Pivot Data (tidy)'!$C$5:$C$316,'Pivot Data (tidy)'!$A$5:$A$316,$A8,'Pivot Data (tidy)'!$B$5:$B$316,I$4)</f>
        <v>32060828</v>
      </c>
      <c r="J8" s="5">
        <f>SUMIFS('Pivot Data (tidy)'!$C$5:$C$316,'Pivot Data (tidy)'!$A$5:$A$316,$A8,'Pivot Data (tidy)'!$B$5:$B$316,J$4)</f>
        <v>32066035</v>
      </c>
      <c r="K8" s="5">
        <f>SUMIFS('Pivot Data (tidy)'!$C$5:$C$316,'Pivot Data (tidy)'!$A$5:$A$316,$A8,'Pivot Data (tidy)'!$B$5:$B$316,K$4)</f>
        <v>32182924</v>
      </c>
      <c r="L8" s="5">
        <f>SUMIFS('Pivot Data (tidy)'!$C$5:$C$316,'Pivot Data (tidy)'!$A$5:$A$316,$A8,'Pivot Data (tidy)'!$B$5:$B$316,L$4)</f>
        <v>31931885</v>
      </c>
      <c r="M8" s="5">
        <f>SUMIFS('Pivot Data (tidy)'!$C$5:$C$316,'Pivot Data (tidy)'!$A$5:$A$316,$A8,'Pivot Data (tidy)'!$B$5:$B$316,M$4)</f>
        <v>31998994</v>
      </c>
      <c r="N8" s="9">
        <f>SUM(B8:M8)</f>
        <v>372452195</v>
      </c>
    </row>
    <row r="9" spans="1:14">
      <c r="A9" s="4" t="s">
        <v>32</v>
      </c>
      <c r="B9" s="5">
        <f>SUMIFS('Pivot Data (tidy)'!$C$5:$C$316,'Pivot Data (tidy)'!$A$5:$A$316,$A9,'Pivot Data (tidy)'!$B$5:$B$316,B$4)</f>
        <v>25672922</v>
      </c>
      <c r="C9" s="5">
        <f>SUMIFS('Pivot Data (tidy)'!$C$5:$C$316,'Pivot Data (tidy)'!$A$5:$A$316,$A9,'Pivot Data (tidy)'!$B$5:$B$316,C$4)</f>
        <v>25065406</v>
      </c>
      <c r="D9" s="5">
        <f>SUMIFS('Pivot Data (tidy)'!$C$5:$C$316,'Pivot Data (tidy)'!$A$5:$A$316,$A9,'Pivot Data (tidy)'!$B$5:$B$316,D$4)</f>
        <v>26031674</v>
      </c>
      <c r="E9" s="5">
        <f>SUMIFS('Pivot Data (tidy)'!$C$5:$C$316,'Pivot Data (tidy)'!$A$5:$A$316,$A9,'Pivot Data (tidy)'!$B$5:$B$316,E$4)</f>
        <v>26667054</v>
      </c>
      <c r="F9" s="5">
        <f>SUMIFS('Pivot Data (tidy)'!$C$5:$C$316,'Pivot Data (tidy)'!$A$5:$A$316,$A9,'Pivot Data (tidy)'!$B$5:$B$316,F$4)</f>
        <v>27633154</v>
      </c>
      <c r="G9" s="5">
        <f>SUMIFS('Pivot Data (tidy)'!$C$5:$C$316,'Pivot Data (tidy)'!$A$5:$A$316,$A9,'Pivot Data (tidy)'!$B$5:$B$316,G$4)</f>
        <v>28798186</v>
      </c>
      <c r="H9" s="5">
        <f>SUMIFS('Pivot Data (tidy)'!$C$5:$C$316,'Pivot Data (tidy)'!$A$5:$A$316,$A9,'Pivot Data (tidy)'!$B$5:$B$316,H$4)</f>
        <v>30448577</v>
      </c>
      <c r="I9" s="5">
        <f>SUMIFS('Pivot Data (tidy)'!$C$5:$C$316,'Pivot Data (tidy)'!$A$5:$A$316,$A9,'Pivot Data (tidy)'!$B$5:$B$316,I$4)</f>
        <v>29303717</v>
      </c>
      <c r="J9" s="5">
        <f>SUMIFS('Pivot Data (tidy)'!$C$5:$C$316,'Pivot Data (tidy)'!$A$5:$A$316,$A9,'Pivot Data (tidy)'!$B$5:$B$316,J$4)</f>
        <v>29921118</v>
      </c>
      <c r="K9" s="5">
        <f>SUMIFS('Pivot Data (tidy)'!$C$5:$C$316,'Pivot Data (tidy)'!$A$5:$A$316,$A9,'Pivot Data (tidy)'!$B$5:$B$316,K$4)</f>
        <v>30016367</v>
      </c>
      <c r="L9" s="5">
        <f>SUMIFS('Pivot Data (tidy)'!$C$5:$C$316,'Pivot Data (tidy)'!$A$5:$A$316,$A9,'Pivot Data (tidy)'!$B$5:$B$316,L$4)</f>
        <v>30688011</v>
      </c>
      <c r="M9" s="5">
        <f>SUMIFS('Pivot Data (tidy)'!$C$5:$C$316,'Pivot Data (tidy)'!$A$5:$A$316,$A9,'Pivot Data (tidy)'!$B$5:$B$316,M$4)</f>
        <v>31167193</v>
      </c>
      <c r="N9" s="9">
        <f>SUM(B9:M9)</f>
        <v>341413379</v>
      </c>
    </row>
    <row r="10" spans="1:14">
      <c r="A10" s="4" t="s">
        <v>33</v>
      </c>
      <c r="B10" s="5">
        <f>SUMIFS('Pivot Data (tidy)'!$C$5:$C$316,'Pivot Data (tidy)'!$A$5:$A$316,$A10,'Pivot Data (tidy)'!$B$5:$B$316,B$4)</f>
        <v>8077373</v>
      </c>
      <c r="C10" s="5">
        <f>SUMIFS('Pivot Data (tidy)'!$C$5:$C$316,'Pivot Data (tidy)'!$A$5:$A$316,$A10,'Pivot Data (tidy)'!$B$5:$B$316,C$4)</f>
        <v>8596165</v>
      </c>
      <c r="D10" s="5">
        <f>SUMIFS('Pivot Data (tidy)'!$C$5:$C$316,'Pivot Data (tidy)'!$A$5:$A$316,$A10,'Pivot Data (tidy)'!$B$5:$B$316,D$4)</f>
        <v>8879144</v>
      </c>
      <c r="E10" s="5">
        <f>SUMIFS('Pivot Data (tidy)'!$C$5:$C$316,'Pivot Data (tidy)'!$A$5:$A$316,$A10,'Pivot Data (tidy)'!$B$5:$B$316,E$4)</f>
        <v>9004146</v>
      </c>
      <c r="F10" s="5">
        <f>SUMIFS('Pivot Data (tidy)'!$C$5:$C$316,'Pivot Data (tidy)'!$A$5:$A$316,$A10,'Pivot Data (tidy)'!$B$5:$B$316,F$4)</f>
        <v>7400974</v>
      </c>
      <c r="G10" s="5">
        <f>SUMIFS('Pivot Data (tidy)'!$C$5:$C$316,'Pivot Data (tidy)'!$A$5:$A$316,$A10,'Pivot Data (tidy)'!$B$5:$B$316,G$4)</f>
        <v>7568219</v>
      </c>
      <c r="H10" s="5">
        <f>SUMIFS('Pivot Data (tidy)'!$C$5:$C$316,'Pivot Data (tidy)'!$A$5:$A$316,$A10,'Pivot Data (tidy)'!$B$5:$B$316,H$4)</f>
        <v>7350542</v>
      </c>
      <c r="I10" s="5">
        <f>SUMIFS('Pivot Data (tidy)'!$C$5:$C$316,'Pivot Data (tidy)'!$A$5:$A$316,$A10,'Pivot Data (tidy)'!$B$5:$B$316,I$4)</f>
        <v>7492046</v>
      </c>
      <c r="J10" s="5">
        <f>SUMIFS('Pivot Data (tidy)'!$C$5:$C$316,'Pivot Data (tidy)'!$A$5:$A$316,$A10,'Pivot Data (tidy)'!$B$5:$B$316,J$4)</f>
        <v>10757997</v>
      </c>
      <c r="K10" s="5">
        <f>SUMIFS('Pivot Data (tidy)'!$C$5:$C$316,'Pivot Data (tidy)'!$A$5:$A$316,$A10,'Pivot Data (tidy)'!$B$5:$B$316,K$4)</f>
        <v>10591872</v>
      </c>
      <c r="L10" s="5">
        <f>SUMIFS('Pivot Data (tidy)'!$C$5:$C$316,'Pivot Data (tidy)'!$A$5:$A$316,$A10,'Pivot Data (tidy)'!$B$5:$B$316,L$4)</f>
        <v>11053371</v>
      </c>
      <c r="M10" s="5">
        <f>SUMIFS('Pivot Data (tidy)'!$C$5:$C$316,'Pivot Data (tidy)'!$A$5:$A$316,$A10,'Pivot Data (tidy)'!$B$5:$B$316,M$4)</f>
        <v>10910501</v>
      </c>
      <c r="N10" s="9">
        <f>SUM(B10:M10)</f>
        <v>107682350</v>
      </c>
    </row>
    <row r="11" spans="1:14">
      <c r="A11" s="4" t="s">
        <v>34</v>
      </c>
      <c r="B11" s="5">
        <f>SUMIFS('Pivot Data (tidy)'!$C$5:$C$316,'Pivot Data (tidy)'!$A$5:$A$316,$A11,'Pivot Data (tidy)'!$B$5:$B$316,B$4)</f>
        <v>7997862</v>
      </c>
      <c r="C11" s="5">
        <f>SUMIFS('Pivot Data (tidy)'!$C$5:$C$316,'Pivot Data (tidy)'!$A$5:$A$316,$A11,'Pivot Data (tidy)'!$B$5:$B$316,C$4)</f>
        <v>8280146</v>
      </c>
      <c r="D11" s="5">
        <f>SUMIFS('Pivot Data (tidy)'!$C$5:$C$316,'Pivot Data (tidy)'!$A$5:$A$316,$A11,'Pivot Data (tidy)'!$B$5:$B$316,D$4)</f>
        <v>8036841</v>
      </c>
      <c r="E11" s="5">
        <f>SUMIFS('Pivot Data (tidy)'!$C$5:$C$316,'Pivot Data (tidy)'!$A$5:$A$316,$A11,'Pivot Data (tidy)'!$B$5:$B$316,E$4)</f>
        <v>8003876</v>
      </c>
      <c r="F11" s="5">
        <f>SUMIFS('Pivot Data (tidy)'!$C$5:$C$316,'Pivot Data (tidy)'!$A$5:$A$316,$A11,'Pivot Data (tidy)'!$B$5:$B$316,F$4)</f>
        <v>7797514</v>
      </c>
      <c r="G11" s="5">
        <f>SUMIFS('Pivot Data (tidy)'!$C$5:$C$316,'Pivot Data (tidy)'!$A$5:$A$316,$A11,'Pivot Data (tidy)'!$B$5:$B$316,G$4)</f>
        <v>7931033</v>
      </c>
      <c r="H11" s="5">
        <f>SUMIFS('Pivot Data (tidy)'!$C$5:$C$316,'Pivot Data (tidy)'!$A$5:$A$316,$A11,'Pivot Data (tidy)'!$B$5:$B$316,H$4)</f>
        <v>8126381</v>
      </c>
      <c r="I11" s="5">
        <f>SUMIFS('Pivot Data (tidy)'!$C$5:$C$316,'Pivot Data (tidy)'!$A$5:$A$316,$A11,'Pivot Data (tidy)'!$B$5:$B$316,I$4)</f>
        <v>8158991</v>
      </c>
      <c r="J11" s="5">
        <f>SUMIFS('Pivot Data (tidy)'!$C$5:$C$316,'Pivot Data (tidy)'!$A$5:$A$316,$A11,'Pivot Data (tidy)'!$B$5:$B$316,J$4)</f>
        <v>8240716</v>
      </c>
      <c r="K11" s="5">
        <f>SUMIFS('Pivot Data (tidy)'!$C$5:$C$316,'Pivot Data (tidy)'!$A$5:$A$316,$A11,'Pivot Data (tidy)'!$B$5:$B$316,K$4)</f>
        <v>8802895</v>
      </c>
      <c r="L11" s="5">
        <f>SUMIFS('Pivot Data (tidy)'!$C$5:$C$316,'Pivot Data (tidy)'!$A$5:$A$316,$A11,'Pivot Data (tidy)'!$B$5:$B$316,L$4)</f>
        <v>9128994</v>
      </c>
      <c r="M11" s="5">
        <f>SUMIFS('Pivot Data (tidy)'!$C$5:$C$316,'Pivot Data (tidy)'!$A$5:$A$316,$A11,'Pivot Data (tidy)'!$B$5:$B$316,M$4)</f>
        <v>8993340</v>
      </c>
      <c r="N11" s="9">
        <f>SUM(B11:M11)</f>
        <v>99498589</v>
      </c>
    </row>
    <row r="12" spans="1:14">
      <c r="A12" s="4" t="s">
        <v>35</v>
      </c>
      <c r="B12" s="5">
        <f>SUMIFS('Pivot Data (tidy)'!$C$5:$C$316,'Pivot Data (tidy)'!$A$5:$A$316,$A12,'Pivot Data (tidy)'!$B$5:$B$316,B$4)</f>
        <v>6997454</v>
      </c>
      <c r="C12" s="5">
        <f>SUMIFS('Pivot Data (tidy)'!$C$5:$C$316,'Pivot Data (tidy)'!$A$5:$A$316,$A12,'Pivot Data (tidy)'!$B$5:$B$316,C$4)</f>
        <v>7271125</v>
      </c>
      <c r="D12" s="5">
        <f>SUMIFS('Pivot Data (tidy)'!$C$5:$C$316,'Pivot Data (tidy)'!$A$5:$A$316,$A12,'Pivot Data (tidy)'!$B$5:$B$316,D$4)</f>
        <v>7524972</v>
      </c>
      <c r="E12" s="5">
        <f>SUMIFS('Pivot Data (tidy)'!$C$5:$C$316,'Pivot Data (tidy)'!$A$5:$A$316,$A12,'Pivot Data (tidy)'!$B$5:$B$316,E$4)</f>
        <v>7380986</v>
      </c>
      <c r="F12" s="5">
        <f>SUMIFS('Pivot Data (tidy)'!$C$5:$C$316,'Pivot Data (tidy)'!$A$5:$A$316,$A12,'Pivot Data (tidy)'!$B$5:$B$316,F$4)</f>
        <v>6942357</v>
      </c>
      <c r="G12" s="5">
        <f>SUMIFS('Pivot Data (tidy)'!$C$5:$C$316,'Pivot Data (tidy)'!$A$5:$A$316,$A12,'Pivot Data (tidy)'!$B$5:$B$316,G$4)</f>
        <v>6805558</v>
      </c>
      <c r="H12" s="5">
        <f>SUMIFS('Pivot Data (tidy)'!$C$5:$C$316,'Pivot Data (tidy)'!$A$5:$A$316,$A12,'Pivot Data (tidy)'!$B$5:$B$316,H$4)</f>
        <v>6758979</v>
      </c>
      <c r="I12" s="5">
        <f>SUMIFS('Pivot Data (tidy)'!$C$5:$C$316,'Pivot Data (tidy)'!$A$5:$A$316,$A12,'Pivot Data (tidy)'!$B$5:$B$316,I$4)</f>
        <v>7178540</v>
      </c>
      <c r="J12" s="5">
        <f>SUMIFS('Pivot Data (tidy)'!$C$5:$C$316,'Pivot Data (tidy)'!$A$5:$A$316,$A12,'Pivot Data (tidy)'!$B$5:$B$316,J$4)</f>
        <v>6826905</v>
      </c>
      <c r="K12" s="5">
        <f>SUMIFS('Pivot Data (tidy)'!$C$5:$C$316,'Pivot Data (tidy)'!$A$5:$A$316,$A12,'Pivot Data (tidy)'!$B$5:$B$316,K$4)</f>
        <v>7246281</v>
      </c>
      <c r="L12" s="5">
        <f>SUMIFS('Pivot Data (tidy)'!$C$5:$C$316,'Pivot Data (tidy)'!$A$5:$A$316,$A12,'Pivot Data (tidy)'!$B$5:$B$316,L$4)</f>
        <v>7179242</v>
      </c>
      <c r="M12" s="5">
        <f>SUMIFS('Pivot Data (tidy)'!$C$5:$C$316,'Pivot Data (tidy)'!$A$5:$A$316,$A12,'Pivot Data (tidy)'!$B$5:$B$316,M$4)</f>
        <v>8234306</v>
      </c>
      <c r="N12" s="9">
        <f>SUM(B12:M12)</f>
        <v>86346705</v>
      </c>
    </row>
    <row r="13" spans="1:14">
      <c r="A13" s="4" t="s">
        <v>36</v>
      </c>
      <c r="B13" s="5">
        <f>SUMIFS('Pivot Data (tidy)'!$C$5:$C$316,'Pivot Data (tidy)'!$A$5:$A$316,$A13,'Pivot Data (tidy)'!$B$5:$B$316,B$4)</f>
        <v>9714566</v>
      </c>
      <c r="C13" s="5">
        <f>SUMIFS('Pivot Data (tidy)'!$C$5:$C$316,'Pivot Data (tidy)'!$A$5:$A$316,$A13,'Pivot Data (tidy)'!$B$5:$B$316,C$4)</f>
        <v>8124863</v>
      </c>
      <c r="D13" s="5">
        <f>SUMIFS('Pivot Data (tidy)'!$C$5:$C$316,'Pivot Data (tidy)'!$A$5:$A$316,$A13,'Pivot Data (tidy)'!$B$5:$B$316,D$4)</f>
        <v>5892021</v>
      </c>
      <c r="E13" s="5">
        <f>SUMIFS('Pivot Data (tidy)'!$C$5:$C$316,'Pivot Data (tidy)'!$A$5:$A$316,$A13,'Pivot Data (tidy)'!$B$5:$B$316,E$4)</f>
        <v>5916339</v>
      </c>
      <c r="F13" s="5">
        <f>SUMIFS('Pivot Data (tidy)'!$C$5:$C$316,'Pivot Data (tidy)'!$A$5:$A$316,$A13,'Pivot Data (tidy)'!$B$5:$B$316,F$4)</f>
        <v>5889210</v>
      </c>
      <c r="G13" s="5">
        <f>SUMIFS('Pivot Data (tidy)'!$C$5:$C$316,'Pivot Data (tidy)'!$A$5:$A$316,$A13,'Pivot Data (tidy)'!$B$5:$B$316,G$4)</f>
        <v>5765759</v>
      </c>
      <c r="H13" s="5">
        <f>SUMIFS('Pivot Data (tidy)'!$C$5:$C$316,'Pivot Data (tidy)'!$A$5:$A$316,$A13,'Pivot Data (tidy)'!$B$5:$B$316,H$4)</f>
        <v>5755449</v>
      </c>
      <c r="I13" s="5">
        <f>SUMIFS('Pivot Data (tidy)'!$C$5:$C$316,'Pivot Data (tidy)'!$A$5:$A$316,$A13,'Pivot Data (tidy)'!$B$5:$B$316,I$4)</f>
        <v>5731856</v>
      </c>
      <c r="J13" s="5">
        <f>SUMIFS('Pivot Data (tidy)'!$C$5:$C$316,'Pivot Data (tidy)'!$A$5:$A$316,$A13,'Pivot Data (tidy)'!$B$5:$B$316,J$4)</f>
        <v>5146306</v>
      </c>
      <c r="K13" s="5">
        <f>SUMIFS('Pivot Data (tidy)'!$C$5:$C$316,'Pivot Data (tidy)'!$A$5:$A$316,$A13,'Pivot Data (tidy)'!$B$5:$B$316,K$4)</f>
        <v>5009167</v>
      </c>
      <c r="L13" s="5">
        <f>SUMIFS('Pivot Data (tidy)'!$C$5:$C$316,'Pivot Data (tidy)'!$A$5:$A$316,$A13,'Pivot Data (tidy)'!$B$5:$B$316,L$4)</f>
        <v>5866087</v>
      </c>
      <c r="M13" s="5">
        <f>SUMIFS('Pivot Data (tidy)'!$C$5:$C$316,'Pivot Data (tidy)'!$A$5:$A$316,$A13,'Pivot Data (tidy)'!$B$5:$B$316,M$4)</f>
        <v>8248559</v>
      </c>
      <c r="N13" s="9">
        <f>SUM(B13:M13)</f>
        <v>77060182</v>
      </c>
    </row>
    <row r="14" spans="1:14">
      <c r="A14" s="4" t="s">
        <v>37</v>
      </c>
      <c r="B14" s="5">
        <f>SUMIFS('Pivot Data (tidy)'!$C$5:$C$316,'Pivot Data (tidy)'!$A$5:$A$316,$A14,'Pivot Data (tidy)'!$B$5:$B$316,B$4)</f>
        <v>3566105</v>
      </c>
      <c r="C14" s="5">
        <f>SUMIFS('Pivot Data (tidy)'!$C$5:$C$316,'Pivot Data (tidy)'!$A$5:$A$316,$A14,'Pivot Data (tidy)'!$B$5:$B$316,C$4)</f>
        <v>3598831</v>
      </c>
      <c r="D14" s="5">
        <f>SUMIFS('Pivot Data (tidy)'!$C$5:$C$316,'Pivot Data (tidy)'!$A$5:$A$316,$A14,'Pivot Data (tidy)'!$B$5:$B$316,D$4)</f>
        <v>3556506</v>
      </c>
      <c r="E14" s="5">
        <f>SUMIFS('Pivot Data (tidy)'!$C$5:$C$316,'Pivot Data (tidy)'!$A$5:$A$316,$A14,'Pivot Data (tidy)'!$B$5:$B$316,E$4)</f>
        <v>3611727</v>
      </c>
      <c r="F14" s="5">
        <f>SUMIFS('Pivot Data (tidy)'!$C$5:$C$316,'Pivot Data (tidy)'!$A$5:$A$316,$A14,'Pivot Data (tidy)'!$B$5:$B$316,F$4)</f>
        <v>3570499</v>
      </c>
      <c r="G14" s="5">
        <f>SUMIFS('Pivot Data (tidy)'!$C$5:$C$316,'Pivot Data (tidy)'!$A$5:$A$316,$A14,'Pivot Data (tidy)'!$B$5:$B$316,G$4)</f>
        <v>3501961</v>
      </c>
      <c r="H14" s="5">
        <f>SUMIFS('Pivot Data (tidy)'!$C$5:$C$316,'Pivot Data (tidy)'!$A$5:$A$316,$A14,'Pivot Data (tidy)'!$B$5:$B$316,H$4)</f>
        <v>3646861</v>
      </c>
      <c r="I14" s="5">
        <f>SUMIFS('Pivot Data (tidy)'!$C$5:$C$316,'Pivot Data (tidy)'!$A$5:$A$316,$A14,'Pivot Data (tidy)'!$B$5:$B$316,I$4)</f>
        <v>3508871</v>
      </c>
      <c r="J14" s="5">
        <f>SUMIFS('Pivot Data (tidy)'!$C$5:$C$316,'Pivot Data (tidy)'!$A$5:$A$316,$A14,'Pivot Data (tidy)'!$B$5:$B$316,J$4)</f>
        <v>3519013</v>
      </c>
      <c r="K14" s="5">
        <f>SUMIFS('Pivot Data (tidy)'!$C$5:$C$316,'Pivot Data (tidy)'!$A$5:$A$316,$A14,'Pivot Data (tidy)'!$B$5:$B$316,K$4)</f>
        <v>3538027</v>
      </c>
      <c r="L14" s="5">
        <f>SUMIFS('Pivot Data (tidy)'!$C$5:$C$316,'Pivot Data (tidy)'!$A$5:$A$316,$A14,'Pivot Data (tidy)'!$B$5:$B$316,L$4)</f>
        <v>3376544</v>
      </c>
      <c r="M14" s="5">
        <f>SUMIFS('Pivot Data (tidy)'!$C$5:$C$316,'Pivot Data (tidy)'!$A$5:$A$316,$A14,'Pivot Data (tidy)'!$B$5:$B$316,M$4)</f>
        <v>3599087</v>
      </c>
      <c r="N14" s="9">
        <f>SUM(B14:M14)</f>
        <v>42594032</v>
      </c>
    </row>
    <row r="15" spans="1:14">
      <c r="A15" s="4" t="s">
        <v>38</v>
      </c>
      <c r="B15" s="5">
        <f>SUMIFS('Pivot Data (tidy)'!$C$5:$C$316,'Pivot Data (tidy)'!$A$5:$A$316,$A15,'Pivot Data (tidy)'!$B$5:$B$316,B$4)</f>
        <v>2110882</v>
      </c>
      <c r="C15" s="5">
        <f>SUMIFS('Pivot Data (tidy)'!$C$5:$C$316,'Pivot Data (tidy)'!$A$5:$A$316,$A15,'Pivot Data (tidy)'!$B$5:$B$316,C$4)</f>
        <v>2288914</v>
      </c>
      <c r="D15" s="5">
        <f>SUMIFS('Pivot Data (tidy)'!$C$5:$C$316,'Pivot Data (tidy)'!$A$5:$A$316,$A15,'Pivot Data (tidy)'!$B$5:$B$316,D$4)</f>
        <v>2267061</v>
      </c>
      <c r="E15" s="5">
        <f>SUMIFS('Pivot Data (tidy)'!$C$5:$C$316,'Pivot Data (tidy)'!$A$5:$A$316,$A15,'Pivot Data (tidy)'!$B$5:$B$316,E$4)</f>
        <v>2388446</v>
      </c>
      <c r="F15" s="5">
        <f>SUMIFS('Pivot Data (tidy)'!$C$5:$C$316,'Pivot Data (tidy)'!$A$5:$A$316,$A15,'Pivot Data (tidy)'!$B$5:$B$316,F$4)</f>
        <v>2594182</v>
      </c>
      <c r="G15" s="5">
        <f>SUMIFS('Pivot Data (tidy)'!$C$5:$C$316,'Pivot Data (tidy)'!$A$5:$A$316,$A15,'Pivot Data (tidy)'!$B$5:$B$316,G$4)</f>
        <v>2654171</v>
      </c>
      <c r="H15" s="5">
        <f>SUMIFS('Pivot Data (tidy)'!$C$5:$C$316,'Pivot Data (tidy)'!$A$5:$A$316,$A15,'Pivot Data (tidy)'!$B$5:$B$316,H$4)</f>
        <v>2822026</v>
      </c>
      <c r="I15" s="5">
        <f>SUMIFS('Pivot Data (tidy)'!$C$5:$C$316,'Pivot Data (tidy)'!$A$5:$A$316,$A15,'Pivot Data (tidy)'!$B$5:$B$316,I$4)</f>
        <v>2884298</v>
      </c>
      <c r="J15" s="5">
        <f>SUMIFS('Pivot Data (tidy)'!$C$5:$C$316,'Pivot Data (tidy)'!$A$5:$A$316,$A15,'Pivot Data (tidy)'!$B$5:$B$316,J$4)</f>
        <v>2807267</v>
      </c>
      <c r="K15" s="5">
        <f>SUMIFS('Pivot Data (tidy)'!$C$5:$C$316,'Pivot Data (tidy)'!$A$5:$A$316,$A15,'Pivot Data (tidy)'!$B$5:$B$316,K$4)</f>
        <v>2890116</v>
      </c>
      <c r="L15" s="5">
        <f>SUMIFS('Pivot Data (tidy)'!$C$5:$C$316,'Pivot Data (tidy)'!$A$5:$A$316,$A15,'Pivot Data (tidy)'!$B$5:$B$316,L$4)</f>
        <v>2967830</v>
      </c>
      <c r="M15" s="5">
        <f>SUMIFS('Pivot Data (tidy)'!$C$5:$C$316,'Pivot Data (tidy)'!$A$5:$A$316,$A15,'Pivot Data (tidy)'!$B$5:$B$316,M$4)</f>
        <v>3143887</v>
      </c>
      <c r="N15" s="9">
        <f>SUM(B15:M15)</f>
        <v>31819080</v>
      </c>
    </row>
    <row r="16" spans="1:14">
      <c r="A16" s="4" t="s">
        <v>39</v>
      </c>
      <c r="B16" s="5">
        <f>SUMIFS('Pivot Data (tidy)'!$C$5:$C$316,'Pivot Data (tidy)'!$A$5:$A$316,$A16,'Pivot Data (tidy)'!$B$5:$B$316,B$4)</f>
        <v>2396174</v>
      </c>
      <c r="C16" s="5">
        <f>SUMIFS('Pivot Data (tidy)'!$C$5:$C$316,'Pivot Data (tidy)'!$A$5:$A$316,$A16,'Pivot Data (tidy)'!$B$5:$B$316,C$4)</f>
        <v>2501061</v>
      </c>
      <c r="D16" s="5">
        <f>SUMIFS('Pivot Data (tidy)'!$C$5:$C$316,'Pivot Data (tidy)'!$A$5:$A$316,$A16,'Pivot Data (tidy)'!$B$5:$B$316,D$4)</f>
        <v>2362198</v>
      </c>
      <c r="E16" s="5">
        <f>SUMIFS('Pivot Data (tidy)'!$C$5:$C$316,'Pivot Data (tidy)'!$A$5:$A$316,$A16,'Pivot Data (tidy)'!$B$5:$B$316,E$4)</f>
        <v>2418535</v>
      </c>
      <c r="F16" s="5">
        <f>SUMIFS('Pivot Data (tidy)'!$C$5:$C$316,'Pivot Data (tidy)'!$A$5:$A$316,$A16,'Pivot Data (tidy)'!$B$5:$B$316,F$4)</f>
        <v>2357592</v>
      </c>
      <c r="G16" s="5">
        <f>SUMIFS('Pivot Data (tidy)'!$C$5:$C$316,'Pivot Data (tidy)'!$A$5:$A$316,$A16,'Pivot Data (tidy)'!$B$5:$B$316,G$4)</f>
        <v>2341962</v>
      </c>
      <c r="H16" s="5">
        <f>SUMIFS('Pivot Data (tidy)'!$C$5:$C$316,'Pivot Data (tidy)'!$A$5:$A$316,$A16,'Pivot Data (tidy)'!$B$5:$B$316,H$4)</f>
        <v>2350307</v>
      </c>
      <c r="I16" s="5">
        <f>SUMIFS('Pivot Data (tidy)'!$C$5:$C$316,'Pivot Data (tidy)'!$A$5:$A$316,$A16,'Pivot Data (tidy)'!$B$5:$B$316,I$4)</f>
        <v>2535513</v>
      </c>
      <c r="J16" s="5">
        <f>SUMIFS('Pivot Data (tidy)'!$C$5:$C$316,'Pivot Data (tidy)'!$A$5:$A$316,$A16,'Pivot Data (tidy)'!$B$5:$B$316,J$4)</f>
        <v>2668821</v>
      </c>
      <c r="K16" s="5">
        <f>SUMIFS('Pivot Data (tidy)'!$C$5:$C$316,'Pivot Data (tidy)'!$A$5:$A$316,$A16,'Pivot Data (tidy)'!$B$5:$B$316,K$4)</f>
        <v>2708388</v>
      </c>
      <c r="L16" s="5">
        <f>SUMIFS('Pivot Data (tidy)'!$C$5:$C$316,'Pivot Data (tidy)'!$A$5:$A$316,$A16,'Pivot Data (tidy)'!$B$5:$B$316,L$4)</f>
        <v>2653272</v>
      </c>
      <c r="M16" s="5">
        <f>SUMIFS('Pivot Data (tidy)'!$C$5:$C$316,'Pivot Data (tidy)'!$A$5:$A$316,$A16,'Pivot Data (tidy)'!$B$5:$B$316,M$4)</f>
        <v>2717487</v>
      </c>
      <c r="N16" s="9">
        <f>SUM(B16:M16)</f>
        <v>30011310</v>
      </c>
    </row>
    <row r="17" spans="1:14">
      <c r="A17" s="4" t="s">
        <v>40</v>
      </c>
      <c r="B17" s="5">
        <f>SUMIFS('Pivot Data (tidy)'!$C$5:$C$316,'Pivot Data (tidy)'!$A$5:$A$316,$A17,'Pivot Data (tidy)'!$B$5:$B$316,B$4)</f>
        <v>2386337</v>
      </c>
      <c r="C17" s="5">
        <f>SUMIFS('Pivot Data (tidy)'!$C$5:$C$316,'Pivot Data (tidy)'!$A$5:$A$316,$A17,'Pivot Data (tidy)'!$B$5:$B$316,C$4)</f>
        <v>2475180</v>
      </c>
      <c r="D17" s="5">
        <f>SUMIFS('Pivot Data (tidy)'!$C$5:$C$316,'Pivot Data (tidy)'!$A$5:$A$316,$A17,'Pivot Data (tidy)'!$B$5:$B$316,D$4)</f>
        <v>2661578</v>
      </c>
      <c r="E17" s="5">
        <f>SUMIFS('Pivot Data (tidy)'!$C$5:$C$316,'Pivot Data (tidy)'!$A$5:$A$316,$A17,'Pivot Data (tidy)'!$B$5:$B$316,E$4)</f>
        <v>2722965</v>
      </c>
      <c r="F17" s="5">
        <f>SUMIFS('Pivot Data (tidy)'!$C$5:$C$316,'Pivot Data (tidy)'!$A$5:$A$316,$A17,'Pivot Data (tidy)'!$B$5:$B$316,F$4)</f>
        <v>2518439</v>
      </c>
      <c r="G17" s="5">
        <f>SUMIFS('Pivot Data (tidy)'!$C$5:$C$316,'Pivot Data (tidy)'!$A$5:$A$316,$A17,'Pivot Data (tidy)'!$B$5:$B$316,G$4)</f>
        <v>2328592</v>
      </c>
      <c r="H17" s="5">
        <f>SUMIFS('Pivot Data (tidy)'!$C$5:$C$316,'Pivot Data (tidy)'!$A$5:$A$316,$A17,'Pivot Data (tidy)'!$B$5:$B$316,H$4)</f>
        <v>2348872</v>
      </c>
      <c r="I17" s="5">
        <f>SUMIFS('Pivot Data (tidy)'!$C$5:$C$316,'Pivot Data (tidy)'!$A$5:$A$316,$A17,'Pivot Data (tidy)'!$B$5:$B$316,I$4)</f>
        <v>2444772</v>
      </c>
      <c r="J17" s="5">
        <f>SUMIFS('Pivot Data (tidy)'!$C$5:$C$316,'Pivot Data (tidy)'!$A$5:$A$316,$A17,'Pivot Data (tidy)'!$B$5:$B$316,J$4)</f>
        <v>2506026</v>
      </c>
      <c r="K17" s="5">
        <f>SUMIFS('Pivot Data (tidy)'!$C$5:$C$316,'Pivot Data (tidy)'!$A$5:$A$316,$A17,'Pivot Data (tidy)'!$B$5:$B$316,K$4)</f>
        <v>2543962</v>
      </c>
      <c r="L17" s="5">
        <f>SUMIFS('Pivot Data (tidy)'!$C$5:$C$316,'Pivot Data (tidy)'!$A$5:$A$316,$A17,'Pivot Data (tidy)'!$B$5:$B$316,L$4)</f>
        <v>2420259</v>
      </c>
      <c r="M17" s="5">
        <f>SUMIFS('Pivot Data (tidy)'!$C$5:$C$316,'Pivot Data (tidy)'!$A$5:$A$316,$A17,'Pivot Data (tidy)'!$B$5:$B$316,M$4)</f>
        <v>2287901</v>
      </c>
      <c r="N17" s="9">
        <f>SUM(B17:M17)</f>
        <v>29644883</v>
      </c>
    </row>
    <row r="18" spans="1:14">
      <c r="A18" s="4" t="s">
        <v>41</v>
      </c>
      <c r="B18" s="5">
        <f>SUMIFS('Pivot Data (tidy)'!$C$5:$C$316,'Pivot Data (tidy)'!$A$5:$A$316,$A18,'Pivot Data (tidy)'!$B$5:$B$316,B$4)</f>
        <v>2190019</v>
      </c>
      <c r="C18" s="5">
        <f>SUMIFS('Pivot Data (tidy)'!$C$5:$C$316,'Pivot Data (tidy)'!$A$5:$A$316,$A18,'Pivot Data (tidy)'!$B$5:$B$316,C$4)</f>
        <v>2322367</v>
      </c>
      <c r="D18" s="5">
        <f>SUMIFS('Pivot Data (tidy)'!$C$5:$C$316,'Pivot Data (tidy)'!$A$5:$A$316,$A18,'Pivot Data (tidy)'!$B$5:$B$316,D$4)</f>
        <v>2341212</v>
      </c>
      <c r="E18" s="5">
        <f>SUMIFS('Pivot Data (tidy)'!$C$5:$C$316,'Pivot Data (tidy)'!$A$5:$A$316,$A18,'Pivot Data (tidy)'!$B$5:$B$316,E$4)</f>
        <v>2452171</v>
      </c>
      <c r="F18" s="5">
        <f>SUMIFS('Pivot Data (tidy)'!$C$5:$C$316,'Pivot Data (tidy)'!$A$5:$A$316,$A18,'Pivot Data (tidy)'!$B$5:$B$316,F$4)</f>
        <v>2422935</v>
      </c>
      <c r="G18" s="5">
        <f>SUMIFS('Pivot Data (tidy)'!$C$5:$C$316,'Pivot Data (tidy)'!$A$5:$A$316,$A18,'Pivot Data (tidy)'!$B$5:$B$316,G$4)</f>
        <v>2350623</v>
      </c>
      <c r="H18" s="5">
        <f>SUMIFS('Pivot Data (tidy)'!$C$5:$C$316,'Pivot Data (tidy)'!$A$5:$A$316,$A18,'Pivot Data (tidy)'!$B$5:$B$316,H$4)</f>
        <v>2419584</v>
      </c>
      <c r="I18" s="5">
        <f>SUMIFS('Pivot Data (tidy)'!$C$5:$C$316,'Pivot Data (tidy)'!$A$5:$A$316,$A18,'Pivot Data (tidy)'!$B$5:$B$316,I$4)</f>
        <v>2401359</v>
      </c>
      <c r="J18" s="5">
        <f>SUMIFS('Pivot Data (tidy)'!$C$5:$C$316,'Pivot Data (tidy)'!$A$5:$A$316,$A18,'Pivot Data (tidy)'!$B$5:$B$316,J$4)</f>
        <v>2572736</v>
      </c>
      <c r="K18" s="5">
        <f>SUMIFS('Pivot Data (tidy)'!$C$5:$C$316,'Pivot Data (tidy)'!$A$5:$A$316,$A18,'Pivot Data (tidy)'!$B$5:$B$316,K$4)</f>
        <v>2638537</v>
      </c>
      <c r="L18" s="5">
        <f>SUMIFS('Pivot Data (tidy)'!$C$5:$C$316,'Pivot Data (tidy)'!$A$5:$A$316,$A18,'Pivot Data (tidy)'!$B$5:$B$316,L$4)</f>
        <v>1943085</v>
      </c>
      <c r="M18" s="5">
        <f>SUMIFS('Pivot Data (tidy)'!$C$5:$C$316,'Pivot Data (tidy)'!$A$5:$A$316,$A18,'Pivot Data (tidy)'!$B$5:$B$316,M$4)</f>
        <v>1934423</v>
      </c>
      <c r="N18" s="9">
        <f>SUM(B18:M18)</f>
        <v>27989051</v>
      </c>
    </row>
    <row r="19" spans="1:14">
      <c r="A19" s="4" t="s">
        <v>42</v>
      </c>
      <c r="B19" s="5">
        <f>SUMIFS('Pivot Data (tidy)'!$C$5:$C$316,'Pivot Data (tidy)'!$A$5:$A$316,$A19,'Pivot Data (tidy)'!$B$5:$B$316,B$4)</f>
        <v>2786427</v>
      </c>
      <c r="C19" s="5">
        <f>SUMIFS('Pivot Data (tidy)'!$C$5:$C$316,'Pivot Data (tidy)'!$A$5:$A$316,$A19,'Pivot Data (tidy)'!$B$5:$B$316,C$4)</f>
        <v>2839710</v>
      </c>
      <c r="D19" s="5">
        <f>SUMIFS('Pivot Data (tidy)'!$C$5:$C$316,'Pivot Data (tidy)'!$A$5:$A$316,$A19,'Pivot Data (tidy)'!$B$5:$B$316,D$4)</f>
        <v>2773743</v>
      </c>
      <c r="E19" s="5">
        <f>SUMIFS('Pivot Data (tidy)'!$C$5:$C$316,'Pivot Data (tidy)'!$A$5:$A$316,$A19,'Pivot Data (tidy)'!$B$5:$B$316,E$4)</f>
        <v>2967936</v>
      </c>
      <c r="F19" s="5">
        <f>SUMIFS('Pivot Data (tidy)'!$C$5:$C$316,'Pivot Data (tidy)'!$A$5:$A$316,$A19,'Pivot Data (tidy)'!$B$5:$B$316,F$4)</f>
        <v>2967824</v>
      </c>
      <c r="G19" s="5">
        <f>SUMIFS('Pivot Data (tidy)'!$C$5:$C$316,'Pivot Data (tidy)'!$A$5:$A$316,$A19,'Pivot Data (tidy)'!$B$5:$B$316,G$4)</f>
        <v>2545305</v>
      </c>
      <c r="H19" s="5">
        <f>SUMIFS('Pivot Data (tidy)'!$C$5:$C$316,'Pivot Data (tidy)'!$A$5:$A$316,$A19,'Pivot Data (tidy)'!$B$5:$B$316,H$4)</f>
        <v>1499886</v>
      </c>
      <c r="I19" s="5">
        <f>SUMIFS('Pivot Data (tidy)'!$C$5:$C$316,'Pivot Data (tidy)'!$A$5:$A$316,$A19,'Pivot Data (tidy)'!$B$5:$B$316,I$4)</f>
        <v>1125043</v>
      </c>
      <c r="J19" s="5">
        <f>SUMIFS('Pivot Data (tidy)'!$C$5:$C$316,'Pivot Data (tidy)'!$A$5:$A$316,$A19,'Pivot Data (tidy)'!$B$5:$B$316,J$4)</f>
        <v>1123282</v>
      </c>
      <c r="K19" s="5">
        <f>SUMIFS('Pivot Data (tidy)'!$C$5:$C$316,'Pivot Data (tidy)'!$A$5:$A$316,$A19,'Pivot Data (tidy)'!$B$5:$B$316,K$4)</f>
        <v>1106774</v>
      </c>
      <c r="L19" s="5">
        <f>SUMIFS('Pivot Data (tidy)'!$C$5:$C$316,'Pivot Data (tidy)'!$A$5:$A$316,$A19,'Pivot Data (tidy)'!$B$5:$B$316,L$4)</f>
        <v>988514</v>
      </c>
      <c r="M19" s="5">
        <f>SUMIFS('Pivot Data (tidy)'!$C$5:$C$316,'Pivot Data (tidy)'!$A$5:$A$316,$A19,'Pivot Data (tidy)'!$B$5:$B$316,M$4)</f>
        <v>1068648</v>
      </c>
      <c r="N19" s="9">
        <f>SUM(B19:M19)</f>
        <v>23793092</v>
      </c>
    </row>
    <row r="20" spans="1:14">
      <c r="A20" s="4" t="s">
        <v>43</v>
      </c>
      <c r="B20" s="5">
        <f>SUMIFS('Pivot Data (tidy)'!$C$5:$C$316,'Pivot Data (tidy)'!$A$5:$A$316,$A20,'Pivot Data (tidy)'!$B$5:$B$316,B$4)</f>
        <v>1614326</v>
      </c>
      <c r="C20" s="5">
        <f>SUMIFS('Pivot Data (tidy)'!$C$5:$C$316,'Pivot Data (tidy)'!$A$5:$A$316,$A20,'Pivot Data (tidy)'!$B$5:$B$316,C$4)</f>
        <v>1596637</v>
      </c>
      <c r="D20" s="5">
        <f>SUMIFS('Pivot Data (tidy)'!$C$5:$C$316,'Pivot Data (tidy)'!$A$5:$A$316,$A20,'Pivot Data (tidy)'!$B$5:$B$316,D$4)</f>
        <v>1759399</v>
      </c>
      <c r="E20" s="5">
        <f>SUMIFS('Pivot Data (tidy)'!$C$5:$C$316,'Pivot Data (tidy)'!$A$5:$A$316,$A20,'Pivot Data (tidy)'!$B$5:$B$316,E$4)</f>
        <v>1834267</v>
      </c>
      <c r="F20" s="5">
        <f>SUMIFS('Pivot Data (tidy)'!$C$5:$C$316,'Pivot Data (tidy)'!$A$5:$A$316,$A20,'Pivot Data (tidy)'!$B$5:$B$316,F$4)</f>
        <v>1924422</v>
      </c>
      <c r="G20" s="5">
        <f>SUMIFS('Pivot Data (tidy)'!$C$5:$C$316,'Pivot Data (tidy)'!$A$5:$A$316,$A20,'Pivot Data (tidy)'!$B$5:$B$316,G$4)</f>
        <v>2012432</v>
      </c>
      <c r="H20" s="5">
        <f>SUMIFS('Pivot Data (tidy)'!$C$5:$C$316,'Pivot Data (tidy)'!$A$5:$A$316,$A20,'Pivot Data (tidy)'!$B$5:$B$316,H$4)</f>
        <v>2050737</v>
      </c>
      <c r="I20" s="5">
        <f>SUMIFS('Pivot Data (tidy)'!$C$5:$C$316,'Pivot Data (tidy)'!$A$5:$A$316,$A20,'Pivot Data (tidy)'!$B$5:$B$316,I$4)</f>
        <v>2003891</v>
      </c>
      <c r="J20" s="5">
        <f>SUMIFS('Pivot Data (tidy)'!$C$5:$C$316,'Pivot Data (tidy)'!$A$5:$A$316,$A20,'Pivot Data (tidy)'!$B$5:$B$316,J$4)</f>
        <v>2016388</v>
      </c>
      <c r="K20" s="5">
        <f>SUMIFS('Pivot Data (tidy)'!$C$5:$C$316,'Pivot Data (tidy)'!$A$5:$A$316,$A20,'Pivot Data (tidy)'!$B$5:$B$316,K$4)</f>
        <v>1979517</v>
      </c>
      <c r="L20" s="5">
        <f>SUMIFS('Pivot Data (tidy)'!$C$5:$C$316,'Pivot Data (tidy)'!$A$5:$A$316,$A20,'Pivot Data (tidy)'!$B$5:$B$316,L$4)</f>
        <v>2030354</v>
      </c>
      <c r="M20" s="5">
        <f>SUMIFS('Pivot Data (tidy)'!$C$5:$C$316,'Pivot Data (tidy)'!$A$5:$A$316,$A20,'Pivot Data (tidy)'!$B$5:$B$316,M$4)</f>
        <v>2033850</v>
      </c>
      <c r="N20" s="9">
        <f>SUM(B20:M20)</f>
        <v>22856220</v>
      </c>
    </row>
    <row r="21" spans="1:14">
      <c r="A21" s="4" t="s">
        <v>44</v>
      </c>
      <c r="B21" s="5">
        <f>SUMIFS('Pivot Data (tidy)'!$C$5:$C$316,'Pivot Data (tidy)'!$A$5:$A$316,$A21,'Pivot Data (tidy)'!$B$5:$B$316,B$4)</f>
        <v>2127932</v>
      </c>
      <c r="C21" s="5">
        <f>SUMIFS('Pivot Data (tidy)'!$C$5:$C$316,'Pivot Data (tidy)'!$A$5:$A$316,$A21,'Pivot Data (tidy)'!$B$5:$B$316,C$4)</f>
        <v>2778650</v>
      </c>
      <c r="D21" s="5">
        <f>SUMIFS('Pivot Data (tidy)'!$C$5:$C$316,'Pivot Data (tidy)'!$A$5:$A$316,$A21,'Pivot Data (tidy)'!$B$5:$B$316,D$4)</f>
        <v>1917806</v>
      </c>
      <c r="E21" s="5">
        <f>SUMIFS('Pivot Data (tidy)'!$C$5:$C$316,'Pivot Data (tidy)'!$A$5:$A$316,$A21,'Pivot Data (tidy)'!$B$5:$B$316,E$4)</f>
        <v>1633565</v>
      </c>
      <c r="F21" s="5">
        <f>SUMIFS('Pivot Data (tidy)'!$C$5:$C$316,'Pivot Data (tidy)'!$A$5:$A$316,$A21,'Pivot Data (tidy)'!$B$5:$B$316,F$4)</f>
        <v>1067160</v>
      </c>
      <c r="G21" s="5">
        <f>SUMIFS('Pivot Data (tidy)'!$C$5:$C$316,'Pivot Data (tidy)'!$A$5:$A$316,$A21,'Pivot Data (tidy)'!$B$5:$B$316,G$4)</f>
        <v>1090650</v>
      </c>
      <c r="H21" s="5">
        <f>SUMIFS('Pivot Data (tidy)'!$C$5:$C$316,'Pivot Data (tidy)'!$A$5:$A$316,$A21,'Pivot Data (tidy)'!$B$5:$B$316,H$4)</f>
        <v>879924</v>
      </c>
      <c r="I21" s="5">
        <f>SUMIFS('Pivot Data (tidy)'!$C$5:$C$316,'Pivot Data (tidy)'!$A$5:$A$316,$A21,'Pivot Data (tidy)'!$B$5:$B$316,I$4)</f>
        <v>1120082</v>
      </c>
      <c r="J21" s="5">
        <f>SUMIFS('Pivot Data (tidy)'!$C$5:$C$316,'Pivot Data (tidy)'!$A$5:$A$316,$A21,'Pivot Data (tidy)'!$B$5:$B$316,J$4)</f>
        <v>1101479</v>
      </c>
      <c r="K21" s="5">
        <f>SUMIFS('Pivot Data (tidy)'!$C$5:$C$316,'Pivot Data (tidy)'!$A$5:$A$316,$A21,'Pivot Data (tidy)'!$B$5:$B$316,K$4)</f>
        <v>1081477</v>
      </c>
      <c r="L21" s="5">
        <f>SUMIFS('Pivot Data (tidy)'!$C$5:$C$316,'Pivot Data (tidy)'!$A$5:$A$316,$A21,'Pivot Data (tidy)'!$B$5:$B$316,L$4)</f>
        <v>1111387</v>
      </c>
      <c r="M21" s="5">
        <f>SUMIFS('Pivot Data (tidy)'!$C$5:$C$316,'Pivot Data (tidy)'!$A$5:$A$316,$A21,'Pivot Data (tidy)'!$B$5:$B$316,M$4)</f>
        <v>1174345</v>
      </c>
      <c r="N21" s="9">
        <f>SUM(B21:M21)</f>
        <v>17084457</v>
      </c>
    </row>
    <row r="22" spans="1:14">
      <c r="A22" s="4" t="s">
        <v>45</v>
      </c>
      <c r="B22" s="5">
        <f>SUMIFS('Pivot Data (tidy)'!$C$5:$C$316,'Pivot Data (tidy)'!$A$5:$A$316,$A22,'Pivot Data (tidy)'!$B$5:$B$316,B$4)</f>
        <v>1169766</v>
      </c>
      <c r="C22" s="5">
        <f>SUMIFS('Pivot Data (tidy)'!$C$5:$C$316,'Pivot Data (tidy)'!$A$5:$A$316,$A22,'Pivot Data (tidy)'!$B$5:$B$316,C$4)</f>
        <v>1177519</v>
      </c>
      <c r="D22" s="5">
        <f>SUMIFS('Pivot Data (tidy)'!$C$5:$C$316,'Pivot Data (tidy)'!$A$5:$A$316,$A22,'Pivot Data (tidy)'!$B$5:$B$316,D$4)</f>
        <v>1245538</v>
      </c>
      <c r="E22" s="5">
        <f>SUMIFS('Pivot Data (tidy)'!$C$5:$C$316,'Pivot Data (tidy)'!$A$5:$A$316,$A22,'Pivot Data (tidy)'!$B$5:$B$316,E$4)</f>
        <v>1304806</v>
      </c>
      <c r="F22" s="5">
        <f>SUMIFS('Pivot Data (tidy)'!$C$5:$C$316,'Pivot Data (tidy)'!$A$5:$A$316,$A22,'Pivot Data (tidy)'!$B$5:$B$316,F$4)</f>
        <v>1350819</v>
      </c>
      <c r="G22" s="5">
        <f>SUMIFS('Pivot Data (tidy)'!$C$5:$C$316,'Pivot Data (tidy)'!$A$5:$A$316,$A22,'Pivot Data (tidy)'!$B$5:$B$316,G$4)</f>
        <v>1351203</v>
      </c>
      <c r="H22" s="5">
        <f>SUMIFS('Pivot Data (tidy)'!$C$5:$C$316,'Pivot Data (tidy)'!$A$5:$A$316,$A22,'Pivot Data (tidy)'!$B$5:$B$316,H$4)</f>
        <v>1350429</v>
      </c>
      <c r="I22" s="5">
        <f>SUMIFS('Pivot Data (tidy)'!$C$5:$C$316,'Pivot Data (tidy)'!$A$5:$A$316,$A22,'Pivot Data (tidy)'!$B$5:$B$316,I$4)</f>
        <v>1345838</v>
      </c>
      <c r="J22" s="5">
        <f>SUMIFS('Pivot Data (tidy)'!$C$5:$C$316,'Pivot Data (tidy)'!$A$5:$A$316,$A22,'Pivot Data (tidy)'!$B$5:$B$316,J$4)</f>
        <v>1492676</v>
      </c>
      <c r="K22" s="5">
        <f>SUMIFS('Pivot Data (tidy)'!$C$5:$C$316,'Pivot Data (tidy)'!$A$5:$A$316,$A22,'Pivot Data (tidy)'!$B$5:$B$316,K$4)</f>
        <v>1510044</v>
      </c>
      <c r="L22" s="5">
        <f>SUMIFS('Pivot Data (tidy)'!$C$5:$C$316,'Pivot Data (tidy)'!$A$5:$A$316,$A22,'Pivot Data (tidy)'!$B$5:$B$316,L$4)</f>
        <v>1464069</v>
      </c>
      <c r="M22" s="5">
        <f>SUMIFS('Pivot Data (tidy)'!$C$5:$C$316,'Pivot Data (tidy)'!$A$5:$A$316,$A22,'Pivot Data (tidy)'!$B$5:$B$316,M$4)</f>
        <v>1464487</v>
      </c>
      <c r="N22" s="9">
        <f>SUM(B22:M22)</f>
        <v>16227194</v>
      </c>
    </row>
    <row r="23" spans="1:14">
      <c r="A23" s="4" t="s">
        <v>46</v>
      </c>
      <c r="B23" s="5">
        <f>SUMIFS('Pivot Data (tidy)'!$C$5:$C$316,'Pivot Data (tidy)'!$A$5:$A$316,$A23,'Pivot Data (tidy)'!$B$5:$B$316,B$4)</f>
        <v>1547740</v>
      </c>
      <c r="C23" s="5">
        <f>SUMIFS('Pivot Data (tidy)'!$C$5:$C$316,'Pivot Data (tidy)'!$A$5:$A$316,$A23,'Pivot Data (tidy)'!$B$5:$B$316,C$4)</f>
        <v>1196469</v>
      </c>
      <c r="D23" s="5">
        <f>SUMIFS('Pivot Data (tidy)'!$C$5:$C$316,'Pivot Data (tidy)'!$A$5:$A$316,$A23,'Pivot Data (tidy)'!$B$5:$B$316,D$4)</f>
        <v>1262110</v>
      </c>
      <c r="E23" s="5">
        <f>SUMIFS('Pivot Data (tidy)'!$C$5:$C$316,'Pivot Data (tidy)'!$A$5:$A$316,$A23,'Pivot Data (tidy)'!$B$5:$B$316,E$4)</f>
        <v>1303123</v>
      </c>
      <c r="F23" s="5">
        <f>SUMIFS('Pivot Data (tidy)'!$C$5:$C$316,'Pivot Data (tidy)'!$A$5:$A$316,$A23,'Pivot Data (tidy)'!$B$5:$B$316,F$4)</f>
        <v>1302114</v>
      </c>
      <c r="G23" s="5">
        <f>SUMIFS('Pivot Data (tidy)'!$C$5:$C$316,'Pivot Data (tidy)'!$A$5:$A$316,$A23,'Pivot Data (tidy)'!$B$5:$B$316,G$4)</f>
        <v>1287930</v>
      </c>
      <c r="H23" s="5">
        <f>SUMIFS('Pivot Data (tidy)'!$C$5:$C$316,'Pivot Data (tidy)'!$A$5:$A$316,$A23,'Pivot Data (tidy)'!$B$5:$B$316,H$4)</f>
        <v>1321649</v>
      </c>
      <c r="I23" s="5">
        <f>SUMIFS('Pivot Data (tidy)'!$C$5:$C$316,'Pivot Data (tidy)'!$A$5:$A$316,$A23,'Pivot Data (tidy)'!$B$5:$B$316,I$4)</f>
        <v>1295139</v>
      </c>
      <c r="J23" s="5">
        <f>SUMIFS('Pivot Data (tidy)'!$C$5:$C$316,'Pivot Data (tidy)'!$A$5:$A$316,$A23,'Pivot Data (tidy)'!$B$5:$B$316,J$4)</f>
        <v>1347329</v>
      </c>
      <c r="K23" s="5">
        <f>SUMIFS('Pivot Data (tidy)'!$C$5:$C$316,'Pivot Data (tidy)'!$A$5:$A$316,$A23,'Pivot Data (tidy)'!$B$5:$B$316,K$4)</f>
        <v>1335621</v>
      </c>
      <c r="L23" s="5">
        <f>SUMIFS('Pivot Data (tidy)'!$C$5:$C$316,'Pivot Data (tidy)'!$A$5:$A$316,$A23,'Pivot Data (tidy)'!$B$5:$B$316,L$4)</f>
        <v>1335233</v>
      </c>
      <c r="M23" s="5">
        <f>SUMIFS('Pivot Data (tidy)'!$C$5:$C$316,'Pivot Data (tidy)'!$A$5:$A$316,$A23,'Pivot Data (tidy)'!$B$5:$B$316,M$4)</f>
        <v>1395481</v>
      </c>
      <c r="N23" s="9">
        <f>SUM(B23:M23)</f>
        <v>15929938</v>
      </c>
    </row>
    <row r="24" spans="1:14">
      <c r="A24" s="4" t="s">
        <v>47</v>
      </c>
      <c r="B24" s="5">
        <f>SUMIFS('Pivot Data (tidy)'!$C$5:$C$316,'Pivot Data (tidy)'!$A$5:$A$316,$A24,'Pivot Data (tidy)'!$B$5:$B$316,B$4)</f>
        <v>1055993</v>
      </c>
      <c r="C24" s="5">
        <f>SUMIFS('Pivot Data (tidy)'!$C$5:$C$316,'Pivot Data (tidy)'!$A$5:$A$316,$A24,'Pivot Data (tidy)'!$B$5:$B$316,C$4)</f>
        <v>1080228</v>
      </c>
      <c r="D24" s="5">
        <f>SUMIFS('Pivot Data (tidy)'!$C$5:$C$316,'Pivot Data (tidy)'!$A$5:$A$316,$A24,'Pivot Data (tidy)'!$B$5:$B$316,D$4)</f>
        <v>1115579</v>
      </c>
      <c r="E24" s="5">
        <f>SUMIFS('Pivot Data (tidy)'!$C$5:$C$316,'Pivot Data (tidy)'!$A$5:$A$316,$A24,'Pivot Data (tidy)'!$B$5:$B$316,E$4)</f>
        <v>1115724</v>
      </c>
      <c r="F24" s="5">
        <f>SUMIFS('Pivot Data (tidy)'!$C$5:$C$316,'Pivot Data (tidy)'!$A$5:$A$316,$A24,'Pivot Data (tidy)'!$B$5:$B$316,F$4)</f>
        <v>1157065</v>
      </c>
      <c r="G24" s="5">
        <f>SUMIFS('Pivot Data (tidy)'!$C$5:$C$316,'Pivot Data (tidy)'!$A$5:$A$316,$A24,'Pivot Data (tidy)'!$B$5:$B$316,G$4)</f>
        <v>1208379</v>
      </c>
      <c r="H24" s="5">
        <f>SUMIFS('Pivot Data (tidy)'!$C$5:$C$316,'Pivot Data (tidy)'!$A$5:$A$316,$A24,'Pivot Data (tidy)'!$B$5:$B$316,H$4)</f>
        <v>1253019</v>
      </c>
      <c r="I24" s="5">
        <f>SUMIFS('Pivot Data (tidy)'!$C$5:$C$316,'Pivot Data (tidy)'!$A$5:$A$316,$A24,'Pivot Data (tidy)'!$B$5:$B$316,I$4)</f>
        <v>1238858</v>
      </c>
      <c r="J24" s="5">
        <f>SUMIFS('Pivot Data (tidy)'!$C$5:$C$316,'Pivot Data (tidy)'!$A$5:$A$316,$A24,'Pivot Data (tidy)'!$B$5:$B$316,J$4)</f>
        <v>1261690</v>
      </c>
      <c r="K24" s="5">
        <f>SUMIFS('Pivot Data (tidy)'!$C$5:$C$316,'Pivot Data (tidy)'!$A$5:$A$316,$A24,'Pivot Data (tidy)'!$B$5:$B$316,K$4)</f>
        <v>1233901</v>
      </c>
      <c r="L24" s="5">
        <f>SUMIFS('Pivot Data (tidy)'!$C$5:$C$316,'Pivot Data (tidy)'!$A$5:$A$316,$A24,'Pivot Data (tidy)'!$B$5:$B$316,L$4)</f>
        <v>1254852</v>
      </c>
      <c r="M24" s="5">
        <f>SUMIFS('Pivot Data (tidy)'!$C$5:$C$316,'Pivot Data (tidy)'!$A$5:$A$316,$A24,'Pivot Data (tidy)'!$B$5:$B$316,M$4)</f>
        <v>1213573</v>
      </c>
      <c r="N24" s="9">
        <f>SUM(B24:M24)</f>
        <v>14188861</v>
      </c>
    </row>
    <row r="25" spans="1:14">
      <c r="A25" s="4" t="s">
        <v>48</v>
      </c>
      <c r="B25" s="5">
        <f>SUMIFS('Pivot Data (tidy)'!$C$5:$C$316,'Pivot Data (tidy)'!$A$5:$A$316,$A25,'Pivot Data (tidy)'!$B$5:$B$316,B$4)</f>
        <v>48972</v>
      </c>
      <c r="C25" s="5">
        <f>SUMIFS('Pivot Data (tidy)'!$C$5:$C$316,'Pivot Data (tidy)'!$A$5:$A$316,$A25,'Pivot Data (tidy)'!$B$5:$B$316,C$4)</f>
        <v>48972</v>
      </c>
      <c r="D25" s="5">
        <f>SUMIFS('Pivot Data (tidy)'!$C$5:$C$316,'Pivot Data (tidy)'!$A$5:$A$316,$A25,'Pivot Data (tidy)'!$B$5:$B$316,D$4)</f>
        <v>48972</v>
      </c>
      <c r="E25" s="5">
        <f>SUMIFS('Pivot Data (tidy)'!$C$5:$C$316,'Pivot Data (tidy)'!$A$5:$A$316,$A25,'Pivot Data (tidy)'!$B$5:$B$316,E$4)</f>
        <v>48972</v>
      </c>
      <c r="F25" s="5">
        <f>SUMIFS('Pivot Data (tidy)'!$C$5:$C$316,'Pivot Data (tidy)'!$A$5:$A$316,$A25,'Pivot Data (tidy)'!$B$5:$B$316,F$4)</f>
        <v>48972</v>
      </c>
      <c r="G25" s="5">
        <f>SUMIFS('Pivot Data (tidy)'!$C$5:$C$316,'Pivot Data (tidy)'!$A$5:$A$316,$A25,'Pivot Data (tidy)'!$B$5:$B$316,G$4)</f>
        <v>48961</v>
      </c>
      <c r="H25" s="5">
        <f>SUMIFS('Pivot Data (tidy)'!$C$5:$C$316,'Pivot Data (tidy)'!$A$5:$A$316,$A25,'Pivot Data (tidy)'!$B$5:$B$316,H$4)</f>
        <v>48972</v>
      </c>
      <c r="I25" s="5">
        <f>SUMIFS('Pivot Data (tidy)'!$C$5:$C$316,'Pivot Data (tidy)'!$A$5:$A$316,$A25,'Pivot Data (tidy)'!$B$5:$B$316,I$4)</f>
        <v>48972</v>
      </c>
      <c r="J25" s="5">
        <f>SUMIFS('Pivot Data (tidy)'!$C$5:$C$316,'Pivot Data (tidy)'!$A$5:$A$316,$A25,'Pivot Data (tidy)'!$B$5:$B$316,J$4)</f>
        <v>48972</v>
      </c>
      <c r="K25" s="5">
        <f>SUMIFS('Pivot Data (tidy)'!$C$5:$C$316,'Pivot Data (tidy)'!$A$5:$A$316,$A25,'Pivot Data (tidy)'!$B$5:$B$316,K$4)</f>
        <v>48972</v>
      </c>
      <c r="L25" s="5">
        <f>SUMIFS('Pivot Data (tidy)'!$C$5:$C$316,'Pivot Data (tidy)'!$A$5:$A$316,$A25,'Pivot Data (tidy)'!$B$5:$B$316,L$4)</f>
        <v>48972</v>
      </c>
      <c r="M25" s="5">
        <f>SUMIFS('Pivot Data (tidy)'!$C$5:$C$316,'Pivot Data (tidy)'!$A$5:$A$316,$A25,'Pivot Data (tidy)'!$B$5:$B$316,M$4)</f>
        <v>48972</v>
      </c>
      <c r="N25" s="9">
        <f>SUM(B25:M25)</f>
        <v>587653</v>
      </c>
    </row>
    <row r="26" spans="1:14">
      <c r="A26" s="4" t="s">
        <v>49</v>
      </c>
      <c r="B26" s="5">
        <f>SUMIFS('Pivot Data (tidy)'!$C$5:$C$316,'Pivot Data (tidy)'!$A$5:$A$316,$A26,'Pivot Data (tidy)'!$B$5:$B$316,B$4)</f>
        <v>0</v>
      </c>
      <c r="C26" s="5">
        <f>SUMIFS('Pivot Data (tidy)'!$C$5:$C$316,'Pivot Data (tidy)'!$A$5:$A$316,$A26,'Pivot Data (tidy)'!$B$5:$B$316,C$4)</f>
        <v>8581</v>
      </c>
      <c r="D26" s="5">
        <f>SUMIFS('Pivot Data (tidy)'!$C$5:$C$316,'Pivot Data (tidy)'!$A$5:$A$316,$A26,'Pivot Data (tidy)'!$B$5:$B$316,D$4)</f>
        <v>26615</v>
      </c>
      <c r="E26" s="5">
        <f>SUMIFS('Pivot Data (tidy)'!$C$5:$C$316,'Pivot Data (tidy)'!$A$5:$A$316,$A26,'Pivot Data (tidy)'!$B$5:$B$316,E$4)</f>
        <v>33283</v>
      </c>
      <c r="F26" s="5">
        <f>SUMIFS('Pivot Data (tidy)'!$C$5:$C$316,'Pivot Data (tidy)'!$A$5:$A$316,$A26,'Pivot Data (tidy)'!$B$5:$B$316,F$4)</f>
        <v>48883</v>
      </c>
      <c r="G26" s="5">
        <f>SUMIFS('Pivot Data (tidy)'!$C$5:$C$316,'Pivot Data (tidy)'!$A$5:$A$316,$A26,'Pivot Data (tidy)'!$B$5:$B$316,G$4)</f>
        <v>65456</v>
      </c>
      <c r="H26" s="5">
        <f>SUMIFS('Pivot Data (tidy)'!$C$5:$C$316,'Pivot Data (tidy)'!$A$5:$A$316,$A26,'Pivot Data (tidy)'!$B$5:$B$316,H$4)</f>
        <v>64416</v>
      </c>
      <c r="I26" s="5">
        <f>SUMIFS('Pivot Data (tidy)'!$C$5:$C$316,'Pivot Data (tidy)'!$A$5:$A$316,$A26,'Pivot Data (tidy)'!$B$5:$B$316,I$4)</f>
        <v>66566</v>
      </c>
      <c r="J26" s="5">
        <f>SUMIFS('Pivot Data (tidy)'!$C$5:$C$316,'Pivot Data (tidy)'!$A$5:$A$316,$A26,'Pivot Data (tidy)'!$B$5:$B$316,J$4)</f>
        <v>66566</v>
      </c>
      <c r="K26" s="5">
        <f>SUMIFS('Pivot Data (tidy)'!$C$5:$C$316,'Pivot Data (tidy)'!$A$5:$A$316,$A26,'Pivot Data (tidy)'!$B$5:$B$316,K$4)</f>
        <v>64419</v>
      </c>
      <c r="L26" s="5">
        <f>SUMIFS('Pivot Data (tidy)'!$C$5:$C$316,'Pivot Data (tidy)'!$A$5:$A$316,$A26,'Pivot Data (tidy)'!$B$5:$B$316,L$4)</f>
        <v>66566</v>
      </c>
      <c r="M26" s="5">
        <f>SUMIFS('Pivot Data (tidy)'!$C$5:$C$316,'Pivot Data (tidy)'!$A$5:$A$316,$A26,'Pivot Data (tidy)'!$B$5:$B$316,M$4)</f>
        <v>64419</v>
      </c>
      <c r="N26" s="9">
        <f>SUM(B26:M26)</f>
        <v>575770</v>
      </c>
    </row>
    <row r="27" spans="1:14">
      <c r="A27" s="4" t="s">
        <v>50</v>
      </c>
      <c r="B27" s="5">
        <f>SUMIFS('Pivot Data (tidy)'!$C$5:$C$316,'Pivot Data (tidy)'!$A$5:$A$316,$A27,'Pivot Data (tidy)'!$B$5:$B$316,B$4)</f>
        <v>48335</v>
      </c>
      <c r="C27" s="5">
        <f>SUMIFS('Pivot Data (tidy)'!$C$5:$C$316,'Pivot Data (tidy)'!$A$5:$A$316,$A27,'Pivot Data (tidy)'!$B$5:$B$316,C$4)</f>
        <v>48683</v>
      </c>
      <c r="D27" s="5">
        <f>SUMIFS('Pivot Data (tidy)'!$C$5:$C$316,'Pivot Data (tidy)'!$A$5:$A$316,$A27,'Pivot Data (tidy)'!$B$5:$B$316,D$4)</f>
        <v>48683</v>
      </c>
      <c r="E27" s="5">
        <f>SUMIFS('Pivot Data (tidy)'!$C$5:$C$316,'Pivot Data (tidy)'!$A$5:$A$316,$A27,'Pivot Data (tidy)'!$B$5:$B$316,E$4)</f>
        <v>49516</v>
      </c>
      <c r="F27" s="5">
        <f>SUMIFS('Pivot Data (tidy)'!$C$5:$C$316,'Pivot Data (tidy)'!$A$5:$A$316,$A27,'Pivot Data (tidy)'!$B$5:$B$316,F$4)</f>
        <v>53659</v>
      </c>
      <c r="G27" s="5">
        <f>SUMIFS('Pivot Data (tidy)'!$C$5:$C$316,'Pivot Data (tidy)'!$A$5:$A$316,$A27,'Pivot Data (tidy)'!$B$5:$B$316,G$4)</f>
        <v>49521</v>
      </c>
      <c r="H27" s="5">
        <f>SUMIFS('Pivot Data (tidy)'!$C$5:$C$316,'Pivot Data (tidy)'!$A$5:$A$316,$A27,'Pivot Data (tidy)'!$B$5:$B$316,H$4)</f>
        <v>49333</v>
      </c>
      <c r="I27" s="5">
        <f>SUMIFS('Pivot Data (tidy)'!$C$5:$C$316,'Pivot Data (tidy)'!$A$5:$A$316,$A27,'Pivot Data (tidy)'!$B$5:$B$316,I$4)</f>
        <v>42044</v>
      </c>
      <c r="J27" s="5">
        <f>SUMIFS('Pivot Data (tidy)'!$C$5:$C$316,'Pivot Data (tidy)'!$A$5:$A$316,$A27,'Pivot Data (tidy)'!$B$5:$B$316,J$4)</f>
        <v>32853</v>
      </c>
      <c r="K27" s="5">
        <f>SUMIFS('Pivot Data (tidy)'!$C$5:$C$316,'Pivot Data (tidy)'!$A$5:$A$316,$A27,'Pivot Data (tidy)'!$B$5:$B$316,K$4)</f>
        <v>32363</v>
      </c>
      <c r="L27" s="5">
        <f>SUMIFS('Pivot Data (tidy)'!$C$5:$C$316,'Pivot Data (tidy)'!$A$5:$A$316,$A27,'Pivot Data (tidy)'!$B$5:$B$316,L$4)</f>
        <v>32863</v>
      </c>
      <c r="M27" s="5">
        <f>SUMIFS('Pivot Data (tidy)'!$C$5:$C$316,'Pivot Data (tidy)'!$A$5:$A$316,$A27,'Pivot Data (tidy)'!$B$5:$B$316,M$4)</f>
        <v>32175</v>
      </c>
      <c r="N27" s="9">
        <f>SUM(B27:M27)</f>
        <v>520028</v>
      </c>
    </row>
    <row r="28" spans="1:14">
      <c r="A28" s="4" t="s">
        <v>51</v>
      </c>
      <c r="B28" s="5">
        <f>SUMIFS('Pivot Data (tidy)'!$C$5:$C$316,'Pivot Data (tidy)'!$A$5:$A$316,$A28,'Pivot Data (tidy)'!$B$5:$B$316,B$4)</f>
        <v>13724</v>
      </c>
      <c r="C28" s="5">
        <f>SUMIFS('Pivot Data (tidy)'!$C$5:$C$316,'Pivot Data (tidy)'!$A$5:$A$316,$A28,'Pivot Data (tidy)'!$B$5:$B$316,C$4)</f>
        <v>13724</v>
      </c>
      <c r="D28" s="5">
        <f>SUMIFS('Pivot Data (tidy)'!$C$5:$C$316,'Pivot Data (tidy)'!$A$5:$A$316,$A28,'Pivot Data (tidy)'!$B$5:$B$316,D$4)</f>
        <v>13709</v>
      </c>
      <c r="E28" s="5">
        <f>SUMIFS('Pivot Data (tidy)'!$C$5:$C$316,'Pivot Data (tidy)'!$A$5:$A$316,$A28,'Pivot Data (tidy)'!$B$5:$B$316,E$4)</f>
        <v>13724</v>
      </c>
      <c r="F28" s="5">
        <f>SUMIFS('Pivot Data (tidy)'!$C$5:$C$316,'Pivot Data (tidy)'!$A$5:$A$316,$A28,'Pivot Data (tidy)'!$B$5:$B$316,F$4)</f>
        <v>13724</v>
      </c>
      <c r="G28" s="5">
        <f>SUMIFS('Pivot Data (tidy)'!$C$5:$C$316,'Pivot Data (tidy)'!$A$5:$A$316,$A28,'Pivot Data (tidy)'!$B$5:$B$316,G$4)</f>
        <v>40387</v>
      </c>
      <c r="H28" s="5">
        <f>SUMIFS('Pivot Data (tidy)'!$C$5:$C$316,'Pivot Data (tidy)'!$A$5:$A$316,$A28,'Pivot Data (tidy)'!$B$5:$B$316,H$4)</f>
        <v>55829</v>
      </c>
      <c r="I28" s="5">
        <f>SUMIFS('Pivot Data (tidy)'!$C$5:$C$316,'Pivot Data (tidy)'!$A$5:$A$316,$A28,'Pivot Data (tidy)'!$B$5:$B$316,I$4)</f>
        <v>44162</v>
      </c>
      <c r="J28" s="5">
        <f>SUMIFS('Pivot Data (tidy)'!$C$5:$C$316,'Pivot Data (tidy)'!$A$5:$A$316,$A28,'Pivot Data (tidy)'!$B$5:$B$316,J$4)</f>
        <v>44132</v>
      </c>
      <c r="K28" s="5">
        <f>SUMIFS('Pivot Data (tidy)'!$C$5:$C$316,'Pivot Data (tidy)'!$A$5:$A$316,$A28,'Pivot Data (tidy)'!$B$5:$B$316,K$4)</f>
        <v>46429</v>
      </c>
      <c r="L28" s="5">
        <f>SUMIFS('Pivot Data (tidy)'!$C$5:$C$316,'Pivot Data (tidy)'!$A$5:$A$316,$A28,'Pivot Data (tidy)'!$B$5:$B$316,L$4)</f>
        <v>46438</v>
      </c>
      <c r="M28" s="5">
        <f>SUMIFS('Pivot Data (tidy)'!$C$5:$C$316,'Pivot Data (tidy)'!$A$5:$A$316,$A28,'Pivot Data (tidy)'!$B$5:$B$316,M$4)</f>
        <v>46438</v>
      </c>
      <c r="N28" s="9">
        <f>SUM(B28:M28)</f>
        <v>392420</v>
      </c>
    </row>
    <row r="29" spans="1:14">
      <c r="A29" s="4" t="s">
        <v>52</v>
      </c>
      <c r="B29" s="5">
        <f>SUMIFS('Pivot Data (tidy)'!$C$5:$C$316,'Pivot Data (tidy)'!$A$5:$A$316,$A29,'Pivot Data (tidy)'!$B$5:$B$316,B$4)</f>
        <v>15128</v>
      </c>
      <c r="C29" s="5">
        <f>SUMIFS('Pivot Data (tidy)'!$C$5:$C$316,'Pivot Data (tidy)'!$A$5:$A$316,$A29,'Pivot Data (tidy)'!$B$5:$B$316,C$4)</f>
        <v>15128</v>
      </c>
      <c r="D29" s="5">
        <f>SUMIFS('Pivot Data (tidy)'!$C$5:$C$316,'Pivot Data (tidy)'!$A$5:$A$316,$A29,'Pivot Data (tidy)'!$B$5:$B$316,D$4)</f>
        <v>15068</v>
      </c>
      <c r="E29" s="5">
        <f>SUMIFS('Pivot Data (tidy)'!$C$5:$C$316,'Pivot Data (tidy)'!$A$5:$A$316,$A29,'Pivot Data (tidy)'!$B$5:$B$316,E$4)</f>
        <v>15128</v>
      </c>
      <c r="F29" s="5">
        <f>SUMIFS('Pivot Data (tidy)'!$C$5:$C$316,'Pivot Data (tidy)'!$A$5:$A$316,$A29,'Pivot Data (tidy)'!$B$5:$B$316,F$4)</f>
        <v>15128</v>
      </c>
      <c r="G29" s="5">
        <f>SUMIFS('Pivot Data (tidy)'!$C$5:$C$316,'Pivot Data (tidy)'!$A$5:$A$316,$A29,'Pivot Data (tidy)'!$B$5:$B$316,G$4)</f>
        <v>15408</v>
      </c>
      <c r="H29" s="5">
        <f>SUMIFS('Pivot Data (tidy)'!$C$5:$C$316,'Pivot Data (tidy)'!$A$5:$A$316,$A29,'Pivot Data (tidy)'!$B$5:$B$316,H$4)</f>
        <v>15408</v>
      </c>
      <c r="I29" s="5">
        <f>SUMIFS('Pivot Data (tidy)'!$C$5:$C$316,'Pivot Data (tidy)'!$A$5:$A$316,$A29,'Pivot Data (tidy)'!$B$5:$B$316,I$4)</f>
        <v>15408</v>
      </c>
      <c r="J29" s="5">
        <f>SUMIFS('Pivot Data (tidy)'!$C$5:$C$316,'Pivot Data (tidy)'!$A$5:$A$316,$A29,'Pivot Data (tidy)'!$B$5:$B$316,J$4)</f>
        <v>15348</v>
      </c>
      <c r="K29" s="5">
        <f>SUMIFS('Pivot Data (tidy)'!$C$5:$C$316,'Pivot Data (tidy)'!$A$5:$A$316,$A29,'Pivot Data (tidy)'!$B$5:$B$316,K$4)</f>
        <v>0</v>
      </c>
      <c r="L29" s="5">
        <f>SUMIFS('Pivot Data (tidy)'!$C$5:$C$316,'Pivot Data (tidy)'!$A$5:$A$316,$A29,'Pivot Data (tidy)'!$B$5:$B$316,L$4)</f>
        <v>0</v>
      </c>
      <c r="M29" s="5">
        <f>SUMIFS('Pivot Data (tidy)'!$C$5:$C$316,'Pivot Data (tidy)'!$A$5:$A$316,$A29,'Pivot Data (tidy)'!$B$5:$B$316,M$4)</f>
        <v>0</v>
      </c>
      <c r="N29" s="9">
        <f>SUM(B29:M29)</f>
        <v>137152</v>
      </c>
    </row>
    <row r="30" spans="1:14">
      <c r="A30" s="4" t="s">
        <v>53</v>
      </c>
      <c r="B30" s="5">
        <f>SUMIFS('Pivot Data (tidy)'!$C$5:$C$316,'Pivot Data (tidy)'!$A$5:$A$316,$A30,'Pivot Data (tidy)'!$B$5:$B$316,B$4)</f>
        <v>10159</v>
      </c>
      <c r="C30" s="5">
        <f>SUMIFS('Pivot Data (tidy)'!$C$5:$C$316,'Pivot Data (tidy)'!$A$5:$A$316,$A30,'Pivot Data (tidy)'!$B$5:$B$316,C$4)</f>
        <v>10159</v>
      </c>
      <c r="D30" s="5">
        <f>SUMIFS('Pivot Data (tidy)'!$C$5:$C$316,'Pivot Data (tidy)'!$A$5:$A$316,$A30,'Pivot Data (tidy)'!$B$5:$B$316,D$4)</f>
        <v>10159</v>
      </c>
      <c r="E30" s="5">
        <f>SUMIFS('Pivot Data (tidy)'!$C$5:$C$316,'Pivot Data (tidy)'!$A$5:$A$316,$A30,'Pivot Data (tidy)'!$B$5:$B$316,E$4)</f>
        <v>10159</v>
      </c>
      <c r="F30" s="5">
        <f>SUMIFS('Pivot Data (tidy)'!$C$5:$C$316,'Pivot Data (tidy)'!$A$5:$A$316,$A30,'Pivot Data (tidy)'!$B$5:$B$316,F$4)</f>
        <v>10159</v>
      </c>
      <c r="G30" s="5">
        <f>SUMIFS('Pivot Data (tidy)'!$C$5:$C$316,'Pivot Data (tidy)'!$A$5:$A$316,$A30,'Pivot Data (tidy)'!$B$5:$B$316,G$4)</f>
        <v>0</v>
      </c>
      <c r="H30" s="5">
        <f>SUMIFS('Pivot Data (tidy)'!$C$5:$C$316,'Pivot Data (tidy)'!$A$5:$A$316,$A30,'Pivot Data (tidy)'!$B$5:$B$316,H$4)</f>
        <v>0</v>
      </c>
      <c r="I30" s="5">
        <f>SUMIFS('Pivot Data (tidy)'!$C$5:$C$316,'Pivot Data (tidy)'!$A$5:$A$316,$A30,'Pivot Data (tidy)'!$B$5:$B$316,I$4)</f>
        <v>0</v>
      </c>
      <c r="J30" s="5">
        <f>SUMIFS('Pivot Data (tidy)'!$C$5:$C$316,'Pivot Data (tidy)'!$A$5:$A$316,$A30,'Pivot Data (tidy)'!$B$5:$B$316,J$4)</f>
        <v>0</v>
      </c>
      <c r="K30" s="5">
        <f>SUMIFS('Pivot Data (tidy)'!$C$5:$C$316,'Pivot Data (tidy)'!$A$5:$A$316,$A30,'Pivot Data (tidy)'!$B$5:$B$316,K$4)</f>
        <v>0</v>
      </c>
      <c r="L30" s="5">
        <f>SUMIFS('Pivot Data (tidy)'!$C$5:$C$316,'Pivot Data (tidy)'!$A$5:$A$316,$A30,'Pivot Data (tidy)'!$B$5:$B$316,L$4)</f>
        <v>0</v>
      </c>
      <c r="M30" s="5">
        <f>SUMIFS('Pivot Data (tidy)'!$C$5:$C$316,'Pivot Data (tidy)'!$A$5:$A$316,$A30,'Pivot Data (tidy)'!$B$5:$B$316,M$4)</f>
        <v>0</v>
      </c>
      <c r="N30" s="9">
        <f>SUM(B30:M30)</f>
        <v>50795</v>
      </c>
    </row>
    <row r="31" spans="1:14">
      <c r="A31" s="6" t="s">
        <v>57</v>
      </c>
      <c r="B31" s="7">
        <f>SUM(B5:B30)</f>
        <v>229689886</v>
      </c>
      <c r="C31" s="7">
        <f>SUM(C5:C30)</f>
        <v>232102234</v>
      </c>
      <c r="D31" s="7">
        <f>SUM(D5:D30)</f>
        <v>232938693</v>
      </c>
      <c r="E31" s="7">
        <f>SUM(E5:E30)</f>
        <v>241094930</v>
      </c>
      <c r="F31" s="7">
        <f>SUM(F5:F30)</f>
        <v>237169533</v>
      </c>
      <c r="G31" s="7">
        <f>SUM(G5:G30)</f>
        <v>240489977</v>
      </c>
      <c r="H31" s="7">
        <f>SUM(H5:H30)</f>
        <v>242265868</v>
      </c>
      <c r="I31" s="7">
        <f>SUM(I5:I30)</f>
        <v>239690178</v>
      </c>
      <c r="J31" s="7">
        <f>SUM(J5:J30)</f>
        <v>256903785</v>
      </c>
      <c r="K31" s="7">
        <f>SUM(K5:K30)</f>
        <v>259488916</v>
      </c>
      <c r="L31" s="7">
        <f>SUM(L5:L30)</f>
        <v>257607690</v>
      </c>
      <c r="M31" s="7">
        <f>SUM(M5:M30)</f>
        <v>263530256</v>
      </c>
      <c r="N31" s="7">
        <f>SUM(N5:N30)</f>
        <v>2932971946</v>
      </c>
    </row>
    <row r="33" spans="1:13">
      <c r="A33" s="10" t="s">
        <v>58</v>
      </c>
      <c r="B33" s="11">
        <f>B31-'Summary — By Month'!J5</f>
        <v>0</v>
      </c>
      <c r="C33" s="11">
        <f>C31-'Summary — By Month'!J6</f>
        <v>0</v>
      </c>
      <c r="D33" s="11">
        <f>D31-'Summary — By Month'!J7</f>
        <v>0</v>
      </c>
      <c r="E33" s="11">
        <f>E31-'Summary — By Month'!J8</f>
        <v>0</v>
      </c>
      <c r="F33" s="11">
        <f>F31-'Summary — By Month'!J9</f>
        <v>0</v>
      </c>
      <c r="G33" s="11">
        <f>G31-'Summary — By Month'!J10</f>
        <v>0</v>
      </c>
      <c r="H33" s="11">
        <f>H31-'Summary — By Month'!J11</f>
        <v>0</v>
      </c>
      <c r="I33" s="11">
        <f>I31-'Summary — By Month'!J12</f>
        <v>0</v>
      </c>
      <c r="J33" s="11">
        <f>J31-'Summary — By Month'!J13</f>
        <v>0</v>
      </c>
      <c r="K33" s="11">
        <f>K31-'Summary — By Month'!J14</f>
        <v>0</v>
      </c>
      <c r="L33" s="11">
        <f>L31-'Summary — By Month'!J15</f>
        <v>0</v>
      </c>
      <c r="M33" s="11">
        <f>M31-'Summary — By Month'!J16</f>
        <v>0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9.7109375" customWidth="1"/>
    <col min="2" max="2" width="18.7109375" customWidth="1"/>
    <col min="3" max="3" width="20.7109375" customWidth="1"/>
    <col min="4" max="4" width="13.7109375" customWidth="1"/>
    <col min="5" max="5" width="15.7109375" customWidth="1"/>
    <col min="6" max="6" width="14.7109375" customWidth="1"/>
    <col min="7" max="7" width="18.7109375" customWidth="1"/>
    <col min="8" max="8" width="16.7109375" customWidth="1"/>
    <col min="9" max="9" width="20.7109375" customWidth="1"/>
  </cols>
  <sheetData>
    <row r="1" spans="1:9" ht="26" customHeight="1">
      <c r="A1" s="1" t="s">
        <v>59</v>
      </c>
      <c r="B1" s="1"/>
      <c r="C1" s="1"/>
      <c r="D1" s="1"/>
      <c r="E1" s="1"/>
      <c r="F1" s="1"/>
      <c r="G1" s="1"/>
      <c r="H1" s="1"/>
      <c r="I1" s="1"/>
    </row>
    <row r="2" spans="1:9" ht="28" customHeight="1">
      <c r="A2" s="2" t="s">
        <v>60</v>
      </c>
      <c r="B2" s="2"/>
      <c r="C2" s="2"/>
      <c r="D2" s="2"/>
      <c r="E2" s="2"/>
      <c r="F2" s="2"/>
      <c r="G2" s="2"/>
      <c r="H2" s="2"/>
      <c r="I2" s="2"/>
    </row>
    <row r="4" spans="1:9" ht="44" customHeight="1">
      <c r="A4" s="3" t="s">
        <v>2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</row>
    <row r="5" spans="1:9">
      <c r="A5" s="4" t="s">
        <v>12</v>
      </c>
      <c r="B5" s="5">
        <v>22980428</v>
      </c>
      <c r="C5" s="5">
        <f>B5</f>
        <v>22980428</v>
      </c>
      <c r="D5" s="11">
        <f>B5-C5</f>
        <v>0</v>
      </c>
      <c r="E5" s="5">
        <v>251316</v>
      </c>
      <c r="F5" s="5">
        <v>22415</v>
      </c>
      <c r="G5" s="5">
        <f>B5+E5+F5</f>
        <v>23254159</v>
      </c>
      <c r="H5" s="5">
        <v>29082</v>
      </c>
      <c r="I5" s="5">
        <f>G5+H5</f>
        <v>23283241</v>
      </c>
    </row>
    <row r="6" spans="1:9">
      <c r="A6" s="4" t="s">
        <v>13</v>
      </c>
      <c r="B6" s="5">
        <v>22977657</v>
      </c>
      <c r="C6" s="5">
        <f>B6</f>
        <v>22977657</v>
      </c>
      <c r="D6" s="11">
        <f>B6-C6</f>
        <v>0</v>
      </c>
      <c r="E6" s="5">
        <v>257779</v>
      </c>
      <c r="F6" s="5">
        <v>17123</v>
      </c>
      <c r="G6" s="5">
        <f>B6+E6+F6</f>
        <v>23252559</v>
      </c>
      <c r="H6" s="5">
        <v>126193</v>
      </c>
      <c r="I6" s="5">
        <f>G6+H6</f>
        <v>23378752</v>
      </c>
    </row>
    <row r="7" spans="1:9">
      <c r="A7" s="4" t="s">
        <v>14</v>
      </c>
      <c r="B7" s="5">
        <v>23316115</v>
      </c>
      <c r="C7" s="5">
        <f>B7</f>
        <v>23316115</v>
      </c>
      <c r="D7" s="11">
        <f>B7-C7</f>
        <v>0</v>
      </c>
      <c r="E7" s="5">
        <v>261377</v>
      </c>
      <c r="F7" s="5">
        <v>17742</v>
      </c>
      <c r="G7" s="5">
        <f>B7+E7+F7</f>
        <v>23595234</v>
      </c>
      <c r="H7" s="5">
        <v>106948</v>
      </c>
      <c r="I7" s="5">
        <f>G7+H7</f>
        <v>23702182</v>
      </c>
    </row>
    <row r="8" spans="1:9">
      <c r="A8" s="4" t="s">
        <v>15</v>
      </c>
      <c r="B8" s="5">
        <v>23982900</v>
      </c>
      <c r="C8" s="5">
        <f>B8</f>
        <v>23982900</v>
      </c>
      <c r="D8" s="11">
        <f>B8-C8</f>
        <v>0</v>
      </c>
      <c r="E8" s="5">
        <v>268308</v>
      </c>
      <c r="F8" s="5">
        <v>21343</v>
      </c>
      <c r="G8" s="5">
        <f>B8+E8+F8</f>
        <v>24272551</v>
      </c>
      <c r="H8" s="5">
        <v>208348</v>
      </c>
      <c r="I8" s="5">
        <f>G8+H8</f>
        <v>24480899</v>
      </c>
    </row>
    <row r="9" spans="1:9">
      <c r="A9" s="4" t="s">
        <v>16</v>
      </c>
      <c r="B9" s="5">
        <v>23833745</v>
      </c>
      <c r="C9" s="5">
        <f>B9</f>
        <v>23833745</v>
      </c>
      <c r="D9" s="11">
        <f>B9-C9</f>
        <v>0</v>
      </c>
      <c r="E9" s="5">
        <v>292452</v>
      </c>
      <c r="F9" s="5">
        <v>29351</v>
      </c>
      <c r="G9" s="5">
        <f>B9+E9+F9</f>
        <v>24155548</v>
      </c>
      <c r="H9" s="5">
        <v>145942</v>
      </c>
      <c r="I9" s="5">
        <f>G9+H9</f>
        <v>24301490</v>
      </c>
    </row>
    <row r="10" spans="1:9">
      <c r="A10" s="4" t="s">
        <v>17</v>
      </c>
      <c r="B10" s="5">
        <v>24402372</v>
      </c>
      <c r="C10" s="5">
        <f>B10</f>
        <v>24402372</v>
      </c>
      <c r="D10" s="11">
        <f>B10-C10</f>
        <v>0</v>
      </c>
      <c r="E10" s="5">
        <v>293830</v>
      </c>
      <c r="F10" s="5">
        <v>20936</v>
      </c>
      <c r="G10" s="5">
        <f>B10+E10+F10</f>
        <v>24717138</v>
      </c>
      <c r="H10" s="5">
        <v>75701</v>
      </c>
      <c r="I10" s="5">
        <f>G10+H10</f>
        <v>24792839</v>
      </c>
    </row>
    <row r="11" spans="1:9">
      <c r="A11" s="4" t="s">
        <v>18</v>
      </c>
      <c r="B11" s="5">
        <v>24286578</v>
      </c>
      <c r="C11" s="5">
        <f>B11</f>
        <v>24286578</v>
      </c>
      <c r="D11" s="11">
        <f>B11-C11</f>
        <v>0</v>
      </c>
      <c r="E11" s="5">
        <v>294187</v>
      </c>
      <c r="F11" s="5">
        <v>39846</v>
      </c>
      <c r="G11" s="5">
        <f>B11+E11+F11</f>
        <v>24620611</v>
      </c>
      <c r="H11" s="5">
        <v>107144</v>
      </c>
      <c r="I11" s="5">
        <f>G11+H11</f>
        <v>24727755</v>
      </c>
    </row>
    <row r="12" spans="1:9">
      <c r="A12" s="4" t="s">
        <v>19</v>
      </c>
      <c r="B12" s="5">
        <v>23861498</v>
      </c>
      <c r="C12" s="5">
        <f>B12</f>
        <v>23861498</v>
      </c>
      <c r="D12" s="11">
        <f>B12-C12</f>
        <v>0</v>
      </c>
      <c r="E12" s="5">
        <v>296625</v>
      </c>
      <c r="F12" s="5">
        <v>36013</v>
      </c>
      <c r="G12" s="5">
        <f>B12+E12+F12</f>
        <v>24194136</v>
      </c>
      <c r="H12" s="5">
        <v>94611</v>
      </c>
      <c r="I12" s="5">
        <f>G12+H12</f>
        <v>24288747</v>
      </c>
    </row>
    <row r="13" spans="1:9">
      <c r="A13" s="4" t="s">
        <v>20</v>
      </c>
      <c r="B13" s="5">
        <v>25136852</v>
      </c>
      <c r="C13" s="5">
        <f>B13</f>
        <v>25136852</v>
      </c>
      <c r="D13" s="11">
        <f>B13-C13</f>
        <v>0</v>
      </c>
      <c r="E13" s="5">
        <v>304276</v>
      </c>
      <c r="F13" s="5">
        <v>40186</v>
      </c>
      <c r="G13" s="5">
        <f>B13+E13+F13</f>
        <v>25481314</v>
      </c>
      <c r="H13" s="5">
        <v>130207</v>
      </c>
      <c r="I13" s="5">
        <f>G13+H13</f>
        <v>25611521</v>
      </c>
    </row>
    <row r="14" spans="1:9">
      <c r="A14" s="4" t="s">
        <v>21</v>
      </c>
      <c r="B14" s="5">
        <v>25669090</v>
      </c>
      <c r="C14" s="5">
        <f>B14</f>
        <v>25669090</v>
      </c>
      <c r="D14" s="11">
        <f>B14-C14</f>
        <v>0</v>
      </c>
      <c r="E14" s="5">
        <v>300471</v>
      </c>
      <c r="F14" s="5">
        <v>15020</v>
      </c>
      <c r="G14" s="5">
        <f>B14+E14+F14</f>
        <v>25984581</v>
      </c>
      <c r="H14" s="5">
        <v>84518</v>
      </c>
      <c r="I14" s="5">
        <f>G14+H14</f>
        <v>26069099</v>
      </c>
    </row>
    <row r="15" spans="1:9">
      <c r="A15" s="4" t="s">
        <v>22</v>
      </c>
      <c r="B15" s="5">
        <v>25462898</v>
      </c>
      <c r="C15" s="5">
        <f>B15</f>
        <v>25462898</v>
      </c>
      <c r="D15" s="11">
        <f>B15-C15</f>
        <v>0</v>
      </c>
      <c r="E15" s="5">
        <v>302510</v>
      </c>
      <c r="F15" s="5">
        <v>92418</v>
      </c>
      <c r="G15" s="5">
        <f>B15+E15+F15</f>
        <v>25857826</v>
      </c>
      <c r="H15" s="5">
        <v>39182</v>
      </c>
      <c r="I15" s="5">
        <f>G15+H15</f>
        <v>25897008</v>
      </c>
    </row>
    <row r="16" spans="1:9">
      <c r="A16" s="4" t="s">
        <v>23</v>
      </c>
      <c r="B16" s="5">
        <v>25844828</v>
      </c>
      <c r="C16" s="5">
        <f>B16</f>
        <v>25844828</v>
      </c>
      <c r="D16" s="11">
        <f>B16-C16</f>
        <v>0</v>
      </c>
      <c r="E16" s="5">
        <v>301518</v>
      </c>
      <c r="F16" s="5">
        <v>38453</v>
      </c>
      <c r="G16" s="5">
        <f>B16+E16+F16</f>
        <v>26184799</v>
      </c>
      <c r="H16" s="5">
        <v>59350</v>
      </c>
      <c r="I16" s="5">
        <f>G16+H16</f>
        <v>26244149</v>
      </c>
    </row>
    <row r="17" spans="1:9">
      <c r="A17" s="6" t="s">
        <v>24</v>
      </c>
      <c r="B17" s="7">
        <f>SUM(B5:B16)</f>
        <v>291754961</v>
      </c>
      <c r="C17" s="7">
        <f>SUM(C5:C16)</f>
        <v>291754961</v>
      </c>
      <c r="D17" s="7">
        <f>SUM(D5:D16)</f>
        <v>0</v>
      </c>
      <c r="E17" s="7">
        <f>SUM(E5:E16)</f>
        <v>3424649</v>
      </c>
      <c r="F17" s="7">
        <f>SUM(F5:F16)</f>
        <v>390846</v>
      </c>
      <c r="G17" s="7">
        <f>SUM(G5:G16)</f>
        <v>295570456</v>
      </c>
      <c r="H17" s="7">
        <f>SUM(H5:H16)</f>
        <v>1207226</v>
      </c>
      <c r="I17" s="7">
        <f>SUM(I5:I16)</f>
        <v>296777682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12.7109375" customWidth="1"/>
  </cols>
  <sheetData>
    <row r="1" spans="1:1" ht="26" customHeight="1"/>
    <row r="2" spans="1:1" ht="28" customHeight="1"/>
    <row r="4" spans="1:1">
      <c r="A4" s="12" t="s">
        <v>69</v>
      </c>
    </row>
    <row r="5" spans="1:1">
      <c r="A5" s="13"/>
    </row>
    <row r="6" spans="1:1">
      <c r="A6" s="12" t="s">
        <v>70</v>
      </c>
    </row>
    <row r="7" spans="1:1">
      <c r="A7" s="13" t="s">
        <v>71</v>
      </c>
    </row>
    <row r="8" spans="1:1">
      <c r="A8" s="13" t="s">
        <v>72</v>
      </c>
    </row>
    <row r="9" spans="1:1">
      <c r="A9" s="13" t="s">
        <v>73</v>
      </c>
    </row>
    <row r="10" spans="1:1">
      <c r="A10" s="13" t="s">
        <v>74</v>
      </c>
    </row>
    <row r="11" spans="1:1">
      <c r="A11" s="13" t="s">
        <v>75</v>
      </c>
    </row>
    <row r="12" spans="1:1">
      <c r="A12" s="13"/>
    </row>
    <row r="13" spans="1:1">
      <c r="A13" s="12" t="s">
        <v>76</v>
      </c>
    </row>
    <row r="14" spans="1:1">
      <c r="A14" s="13" t="s">
        <v>77</v>
      </c>
    </row>
    <row r="15" spans="1:1">
      <c r="A15" s="13" t="s">
        <v>78</v>
      </c>
    </row>
    <row r="16" spans="1:1">
      <c r="A16" s="13" t="s">
        <v>79</v>
      </c>
    </row>
    <row r="17" spans="1:1">
      <c r="A17" s="13"/>
    </row>
    <row r="18" spans="1:1">
      <c r="A18" s="12" t="s">
        <v>80</v>
      </c>
    </row>
    <row r="19" spans="1:1">
      <c r="A19" s="13" t="s">
        <v>81</v>
      </c>
    </row>
    <row r="20" spans="1:1">
      <c r="A20" s="13" t="s">
        <v>82</v>
      </c>
    </row>
    <row r="21" spans="1:1">
      <c r="A21" s="13" t="s">
        <v>83</v>
      </c>
    </row>
    <row r="22" spans="1:1">
      <c r="A22" s="13"/>
    </row>
    <row r="23" spans="1:1">
      <c r="A23" s="12" t="s">
        <v>84</v>
      </c>
    </row>
    <row r="24" spans="1:1">
      <c r="A24" s="13" t="s">
        <v>85</v>
      </c>
    </row>
    <row r="25" spans="1:1">
      <c r="A25" s="1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— By Month</vt:lpstr>
      <vt:lpstr>Pivot Data (tidy)</vt:lpstr>
      <vt:lpstr>Pivot — By State</vt:lpstr>
      <vt:lpstr>PF Reconciliation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2026-07-25T13:34:06Z</dcterms:created>
  <dcterms:modified xsi:type="dcterms:W3CDTF">2026-07-25T13:34:06Z</dcterms:modified>
</cp:coreProperties>
</file>