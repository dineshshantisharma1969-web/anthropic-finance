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version vs Liquidation" sheetId="1" state="visible" r:id="rId1"/>
    <sheet xmlns:r="http://schemas.openxmlformats.org/officeDocument/2006/relationships" name="LLP Annual Withdrawa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₹ #,##0"/>
    <numFmt numFmtId="165" formatCode="0.0"/>
  </numFmts>
  <fonts count="7">
    <font>
      <name val="Calibri"/>
      <family val="2"/>
      <color theme="1"/>
      <sz val="11"/>
      <scheme val="minor"/>
    </font>
    <font>
      <b val="1"/>
      <color rgb="001F3864"/>
      <sz val="15"/>
    </font>
    <font>
      <i val="1"/>
      <color rgb="00808080"/>
      <sz val="9"/>
    </font>
    <font>
      <b val="1"/>
      <color rgb="00FFFFFF"/>
      <sz val="11"/>
    </font>
    <font>
      <sz val="11"/>
    </font>
    <font>
      <b val="1"/>
      <color rgb="002E7D32"/>
      <sz val="11"/>
    </font>
    <font>
      <b val="1"/>
      <sz val="11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164" fontId="4" fillId="0" borderId="0" applyAlignment="1" pivotButton="0" quotePrefix="0" xfId="0">
      <alignment horizontal="right"/>
    </xf>
    <xf numFmtId="164" fontId="4" fillId="3" borderId="1" applyAlignment="1" pivotButton="0" quotePrefix="0" xfId="0">
      <alignment horizontal="right"/>
    </xf>
    <xf numFmtId="0" fontId="5" fillId="0" borderId="0" pivotButton="0" quotePrefix="0" xfId="0"/>
    <xf numFmtId="0" fontId="5" fillId="0" borderId="0" applyAlignment="1" pivotButton="0" quotePrefix="0" xfId="0">
      <alignment horizontal="right"/>
    </xf>
    <xf numFmtId="0" fontId="2" fillId="0" borderId="0" applyAlignment="1" pivotButton="0" quotePrefix="0" xfId="0">
      <alignment vertical="top" wrapText="1"/>
    </xf>
    <xf numFmtId="165" fontId="4" fillId="3" borderId="1" applyAlignment="1" pivotButton="0" quotePrefix="0" xfId="0">
      <alignment horizontal="right"/>
    </xf>
    <xf numFmtId="0" fontId="6" fillId="0" borderId="0" pivotButton="0" quotePrefix="0" xfId="0"/>
    <xf numFmtId="0" fontId="4" fillId="4" borderId="0" pivotButton="0" quotePrefix="0" xfId="0"/>
    <xf numFmtId="164" fontId="4" fillId="4" borderId="0" applyAlignment="1" pivotButton="0" quotePrefix="0" xfId="0">
      <alignment horizontal="right"/>
    </xf>
    <xf numFmtId="0" fontId="5" fillId="4" borderId="0" pivotButton="0" quotePrefix="0" xfId="0"/>
    <xf numFmtId="164" fontId="5" fillId="4" borderId="0" applyAlignment="1" pivotButton="0" quotePrefix="0" xfId="0">
      <alignment horizontal="right"/>
    </xf>
    <xf numFmtId="0" fontId="6" fillId="5" borderId="0" pivotButton="0" quotePrefix="0" xfId="0"/>
    <xf numFmtId="164" fontId="6" fillId="5" borderId="0" applyAlignment="1" pivotButton="0" quotePrefix="0" xfId="0">
      <alignment horizontal="right"/>
    </xf>
    <xf numFmtId="164" fontId="6" fillId="0" borderId="0" applyAlignment="1" pivotButton="0" quotePrefix="0" xfId="0">
      <alignment horizontal="right"/>
    </xf>
    <xf numFmtId="0" fontId="6" fillId="4" borderId="0" pivotButton="0" quotePrefix="0" xfId="0"/>
    <xf numFmtId="164" fontId="6" fillId="4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E3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50" customWidth="1" min="2" max="2"/>
    <col width="20" customWidth="1" min="3" max="3"/>
    <col width="20" customWidth="1" min="4" max="4"/>
    <col width="42" customWidth="1" min="5" max="5"/>
  </cols>
  <sheetData>
    <row r="1">
      <c r="B1" s="1" t="inlineStr">
        <is>
          <t>BRIGHT AUTOCOMP PRIVATE LIMITED — Conversion to LLP vs Liquidation</t>
        </is>
      </c>
    </row>
    <row r="2">
      <c r="B2" s="2" t="inlineStr">
        <is>
          <t>Actual audited FY2024-25 figures (converted from Rs.'00). Two partners 50:50 — Bikram Singh Chadha &amp; Sonu Chadha. Planning model, not tax advice.</t>
        </is>
      </c>
    </row>
    <row r="4">
      <c r="B4" s="3" t="inlineStr">
        <is>
          <t>A.  SEC 47(xiiib) ELIGIBILITY — can the company convert tax-free?</t>
        </is>
      </c>
      <c r="C4" s="3" t="n"/>
      <c r="D4" s="3" t="n"/>
      <c r="E4" s="3" t="n"/>
    </row>
    <row r="5">
      <c r="B5" s="4" t="inlineStr">
        <is>
          <t>Turnover FY2024-25</t>
        </is>
      </c>
      <c r="C5" s="5" t="n">
        <v>2224883</v>
      </c>
      <c r="E5" s="2" t="inlineStr">
        <is>
          <t>Sale of goods &amp; services (Note 17)</t>
        </is>
      </c>
    </row>
    <row r="6">
      <c r="B6" s="4" t="inlineStr">
        <is>
          <t>Turnover FY2023-24</t>
        </is>
      </c>
      <c r="C6" s="5" t="n">
        <v>1618596</v>
      </c>
      <c r="E6" s="2" t="inlineStr">
        <is>
          <t>Prior year (Note 17)</t>
        </is>
      </c>
    </row>
    <row r="7">
      <c r="B7" s="4" t="inlineStr">
        <is>
          <t>Limit — turnover must be &lt;= Rs.60,00,000 in each of 3 prior years</t>
        </is>
      </c>
      <c r="C7" s="6" t="n">
        <v>6000000</v>
      </c>
    </row>
    <row r="8">
      <c r="B8" s="7" t="inlineStr">
        <is>
          <t xml:space="preserve">  → Turnover test</t>
        </is>
      </c>
      <c r="C8" s="8">
        <f>IF(AND(C5&lt;=C7,C6&lt;=C7),"PASS — eligible","CHECK")</f>
        <v/>
      </c>
      <c r="E8" s="2" t="inlineStr">
        <is>
          <t>Confirm FY2022-23 turnover with CA</t>
        </is>
      </c>
    </row>
    <row r="9">
      <c r="B9" s="4" t="inlineStr">
        <is>
          <t>Total assets (book)</t>
        </is>
      </c>
      <c r="C9" s="5" t="n">
        <v>21052932</v>
      </c>
      <c r="E9" s="2" t="inlineStr">
        <is>
          <t>Balance sheet total</t>
        </is>
      </c>
    </row>
    <row r="10">
      <c r="B10" s="4" t="inlineStr">
        <is>
          <t>Limit — total assets must be &lt;= Rs.5,00,00,000</t>
        </is>
      </c>
      <c r="C10" s="6" t="n">
        <v>50000000</v>
      </c>
    </row>
    <row r="11">
      <c r="B11" s="7" t="inlineStr">
        <is>
          <t xml:space="preserve">  → Asset test</t>
        </is>
      </c>
      <c r="C11" s="8">
        <f>IF(C9&lt;=C10,"PASS — eligible","CHECK")</f>
        <v/>
      </c>
    </row>
    <row r="12" ht="42" customHeight="1">
      <c r="B12" s="9" t="inlineStr">
        <is>
          <t>Other conditions (must all hold): all shareholders become partners in same proportion; they keep &gt;=50% profit share for 5 years; NO payout from accumulated profits for 3 years; no consideration other than LLP profit/capital share.</t>
        </is>
      </c>
    </row>
    <row r="14">
      <c r="B14" s="3" t="inlineStr">
        <is>
          <t>B.  ROUTE COMPARISON  (edit the yellow land market value)</t>
        </is>
      </c>
      <c r="C14" s="3" t="n"/>
      <c r="D14" s="3" t="n"/>
      <c r="E14" s="3" t="n"/>
    </row>
    <row r="15">
      <c r="B15" s="4" t="inlineStr">
        <is>
          <t>Land &amp; Building — MARKET VALUE (FMV)</t>
        </is>
      </c>
      <c r="C15" s="6" t="n">
        <v>14574847</v>
      </c>
      <c r="E15" s="2" t="inlineStr">
        <is>
          <t>** KEY ** default = book. Enter real Manesar market value.</t>
        </is>
      </c>
    </row>
    <row r="16">
      <c r="B16" s="4" t="inlineStr">
        <is>
          <t>Company LTCG rate % (liquidation only)</t>
        </is>
      </c>
      <c r="C16" s="10" t="n">
        <v>12.5</v>
      </c>
    </row>
    <row r="17">
      <c r="B17" s="4" t="inlineStr">
        <is>
          <t>Company surcharge %</t>
        </is>
      </c>
      <c r="C17" s="10" t="n">
        <v>12</v>
      </c>
    </row>
    <row r="18">
      <c r="B18" s="4" t="inlineStr">
        <is>
          <t>Cess %</t>
        </is>
      </c>
      <c r="C18" s="10" t="n">
        <v>4</v>
      </c>
    </row>
    <row r="19">
      <c r="B19" s="4" t="inlineStr">
        <is>
          <t>Shareholder / partner marginal rate %</t>
        </is>
      </c>
      <c r="C19" s="10" t="n">
        <v>31.2</v>
      </c>
    </row>
    <row r="21">
      <c r="B21" s="11" t="inlineStr">
        <is>
          <t>ROUTE 1 — STATUTORY CONVERSION (Sec 47(xiiib))</t>
        </is>
      </c>
    </row>
    <row r="22">
      <c r="B22" s="12" t="inlineStr">
        <is>
          <t>Capital gains tax on transfer of assets</t>
        </is>
      </c>
      <c r="C22" s="13" t="n">
        <v>0</v>
      </c>
      <c r="E22" s="2" t="inlineStr">
        <is>
          <t>EXEMPT u/s 47(xiiib)</t>
        </is>
      </c>
    </row>
    <row r="23">
      <c r="B23" s="12" t="inlineStr">
        <is>
          <t>Deemed dividend / distribution tax</t>
        </is>
      </c>
      <c r="C23" s="13" t="n">
        <v>0</v>
      </c>
      <c r="E23" s="2" t="inlineStr">
        <is>
          <t>None — no distribution</t>
        </is>
      </c>
    </row>
    <row r="24">
      <c r="B24" s="12" t="inlineStr">
        <is>
          <t>Stamp duty on assets</t>
        </is>
      </c>
      <c r="C24" s="13" t="n">
        <v>0</v>
      </c>
      <c r="E24" s="2" t="inlineStr">
        <is>
          <t>Usually exempt/concessional on conversion</t>
        </is>
      </c>
    </row>
    <row r="25">
      <c r="B25" s="14" t="inlineStr">
        <is>
          <t>TOTAL one-time tax — CONVERSION</t>
        </is>
      </c>
      <c r="C25" s="15">
        <f>C22+C23+C24</f>
        <v/>
      </c>
    </row>
    <row r="27">
      <c r="B27" s="11" t="inlineStr">
        <is>
          <t>ROUTE 2 — LIQUIDATE THE COMPANY</t>
        </is>
      </c>
    </row>
    <row r="28">
      <c r="B28" s="4" t="inlineStr">
        <is>
          <t>Company capital gain on land (FMV − cost)</t>
        </is>
      </c>
      <c r="C28" s="5">
        <f>MAX(0,C15-14574847.0)</f>
        <v/>
      </c>
    </row>
    <row r="29">
      <c r="B29" s="4" t="inlineStr">
        <is>
          <t>Company LTCG tax</t>
        </is>
      </c>
      <c r="C29" s="5">
        <f>ROUND(C28*C16/100*(1+C17/100)*(1+C18/100),0)</f>
        <v/>
      </c>
    </row>
    <row r="30">
      <c r="B30" s="4" t="inlineStr">
        <is>
          <t>Accumulated profits after sale (= deemed dividend)</t>
        </is>
      </c>
      <c r="C30" s="5">
        <f>5189668.0+MAX(0,C15-14574847.0)-C29</f>
        <v/>
      </c>
    </row>
    <row r="31">
      <c r="B31" s="4" t="inlineStr">
        <is>
          <t>Shareholder tax on deemed dividend (slab)</t>
        </is>
      </c>
      <c r="C31" s="5">
        <f>ROUND(C30*C19/100,0)</f>
        <v/>
      </c>
    </row>
    <row r="32">
      <c r="B32" s="16" t="inlineStr">
        <is>
          <t>TOTAL one-time tax — LIQUIDATION</t>
        </is>
      </c>
      <c r="C32" s="17">
        <f>C29+C31</f>
        <v/>
      </c>
    </row>
    <row r="34">
      <c r="B34" s="14" t="inlineStr">
        <is>
          <t>TAX SAVED BY CONVERTING (instead of liquidating)</t>
        </is>
      </c>
      <c r="C34" s="15">
        <f>C32-C25</f>
        <v/>
      </c>
      <c r="E34" s="2" t="inlineStr">
        <is>
          <t>Conversion avoids the entire liquidation tax</t>
        </is>
      </c>
    </row>
  </sheetData>
  <mergeCells count="1">
    <mergeCell ref="B12:E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F3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50" customWidth="1" min="2" max="2"/>
    <col width="20" customWidth="1" min="3" max="3"/>
    <col width="20" customWidth="1" min="4" max="4"/>
    <col width="20" customWidth="1" min="5" max="5"/>
    <col width="40" customWidth="1" min="6" max="6"/>
  </cols>
  <sheetData>
    <row r="1">
      <c r="B1" s="1" t="inlineStr">
        <is>
          <t>How the two partners draw money from the converted LLP (per year)</t>
        </is>
      </c>
    </row>
    <row r="2">
      <c r="B2" s="2" t="inlineStr">
        <is>
          <t>Based on the company's actual annual profit. Edit the yellow cells.</t>
        </is>
      </c>
    </row>
    <row r="4">
      <c r="B4" s="3" t="inlineStr">
        <is>
          <t>A.  INPUTS  (yellow = editable)</t>
        </is>
      </c>
      <c r="C4" s="3" t="n"/>
      <c r="D4" s="3" t="n"/>
      <c r="E4" s="3" t="n"/>
    </row>
    <row r="5">
      <c r="B5" s="4" t="inlineStr">
        <is>
          <t>Annual book profit before partner rem &amp; interest</t>
        </is>
      </c>
      <c r="C5" s="6" t="n">
        <v>2175849</v>
      </c>
      <c r="F5" s="2">
        <f> company PBT FY25; edit for future years</f>
        <v/>
      </c>
    </row>
    <row r="6">
      <c r="B6" s="4" t="inlineStr">
        <is>
          <t>LLP capital (carried from company net worth)</t>
        </is>
      </c>
      <c r="C6" s="6" t="n">
        <v>5289668</v>
      </c>
      <c r="F6" s="2" t="inlineStr">
        <is>
          <t>Capital 1,00,000 + reserves 51,89,668</t>
        </is>
      </c>
    </row>
    <row r="7">
      <c r="B7" s="4" t="inlineStr">
        <is>
          <t>Interest on capital rate % (max 12 deductible)</t>
        </is>
      </c>
      <c r="C7" s="10" t="n">
        <v>12</v>
      </c>
    </row>
    <row r="8">
      <c r="B8" s="4" t="inlineStr">
        <is>
          <t>Partners' marginal tax rate % (incl cess)</t>
        </is>
      </c>
      <c r="C8" s="10" t="n">
        <v>31.2</v>
      </c>
    </row>
    <row r="10">
      <c r="B10" s="3" t="inlineStr">
        <is>
          <t>B.  THE THREE WITHDRAWAL ROUTES</t>
        </is>
      </c>
      <c r="C10" s="3" t="n"/>
      <c r="D10" s="3" t="n"/>
      <c r="E10" s="3" t="n"/>
    </row>
    <row r="11">
      <c r="B11" s="4" t="inlineStr">
        <is>
          <t>① Interest on capital = capital × rate</t>
        </is>
      </c>
      <c r="C11" s="5">
        <f>ROUND(C6*C7/100,0)</f>
        <v/>
      </c>
      <c r="F11" s="2" t="inlineStr">
        <is>
          <t>Deductible for LLP; taxable to partners at slab</t>
        </is>
      </c>
    </row>
    <row r="12">
      <c r="B12" s="4" t="inlineStr">
        <is>
          <t>Book profit after interest (for Sec 40(b))</t>
        </is>
      </c>
      <c r="C12" s="5">
        <f>C5-C11</f>
        <v/>
      </c>
    </row>
    <row r="13">
      <c r="B13" s="4" t="inlineStr">
        <is>
          <t>② Remuneration — Sec 40(b) deductible cap</t>
        </is>
      </c>
      <c r="C13" s="5">
        <f>MAX(300000,MIN(C12,600000)*0.9)+MAX(0,C12-600000)*0.6</f>
        <v/>
      </c>
      <c r="F13" s="2" t="inlineStr">
        <is>
          <t>Working-partner remuneration, split 50:50; taxable at slab</t>
        </is>
      </c>
    </row>
    <row r="14">
      <c r="B14" s="4" t="inlineStr">
        <is>
          <t>LLP taxable income = book profit − interest − remuneration</t>
        </is>
      </c>
      <c r="C14" s="5">
        <f>C12-C13</f>
        <v/>
      </c>
    </row>
    <row r="15">
      <c r="B15" s="11" t="inlineStr">
        <is>
          <t>LLP tax @ 30% + 4% cess</t>
        </is>
      </c>
      <c r="C15" s="18">
        <f>ROUND(IF(C14&gt;0,C14*0.30*1.04,0),0)</f>
        <v/>
      </c>
    </row>
    <row r="16">
      <c r="B16" s="19" t="inlineStr">
        <is>
          <t>③ Profit share pool (tax-free, 50:50)</t>
        </is>
      </c>
      <c r="C16" s="20">
        <f>C5-C11-C13-C15</f>
        <v/>
      </c>
      <c r="F16" s="2" t="inlineStr">
        <is>
          <t>Exempt u/s 10(2A)</t>
        </is>
      </c>
    </row>
    <row r="18">
      <c r="B18" s="3" t="inlineStr">
        <is>
          <t>C.  TOTAL DRAWN &amp; TAX</t>
        </is>
      </c>
      <c r="C18" s="3" t="n"/>
      <c r="D18" s="3" t="n"/>
      <c r="E18" s="3" t="n"/>
    </row>
    <row r="19">
      <c r="B19" s="16" t="inlineStr">
        <is>
          <t>Total drawn by partners (interest + remuneration + profit share)</t>
        </is>
      </c>
      <c r="C19" s="17">
        <f>C11+C13+C16</f>
        <v/>
      </c>
    </row>
    <row r="20">
      <c r="B20" s="4" t="inlineStr">
        <is>
          <t>Taxable portion (interest + remuneration)</t>
        </is>
      </c>
      <c r="C20" s="5">
        <f>C11+C13</f>
        <v/>
      </c>
    </row>
    <row r="21">
      <c r="B21" s="4" t="inlineStr">
        <is>
          <t>Partner tax on that (at marginal rate)</t>
        </is>
      </c>
      <c r="C21" s="5">
        <f>ROUND((C11+C13)*C8/100,0)</f>
        <v/>
      </c>
    </row>
    <row r="22">
      <c r="B22" s="16" t="inlineStr">
        <is>
          <t>TOTAL TAX (LLP + partners)</t>
        </is>
      </c>
      <c r="C22" s="17">
        <f>C15+C21</f>
        <v/>
      </c>
    </row>
    <row r="23">
      <c r="B23" s="14" t="inlineStr">
        <is>
          <t>Net in partners' hands after all tax</t>
        </is>
      </c>
      <c r="C23" s="15">
        <f>C19-C21</f>
        <v/>
      </c>
    </row>
    <row r="25">
      <c r="B25" s="4" t="inlineStr">
        <is>
          <t>Per partner — total drawn (50%)</t>
        </is>
      </c>
      <c r="C25" s="5">
        <f>C19/2</f>
        <v/>
      </c>
    </row>
    <row r="26">
      <c r="B26" s="11" t="inlineStr">
        <is>
          <t>Per partner — net in hand (50%)</t>
        </is>
      </c>
      <c r="C26" s="18">
        <f>C23/2</f>
        <v/>
      </c>
    </row>
    <row r="28" ht="30" customHeight="1">
      <c r="B28" s="9" t="inlineStr">
        <is>
          <t>PLUS: interest on capital of ~Rs.6.3L/yr is a clean recurring, deductible withdrawal on the Rs.52.9L capital.</t>
        </is>
      </c>
    </row>
    <row r="29" ht="30" customHeight="1">
      <c r="B29" s="9" t="inlineStr">
        <is>
          <t>The Rs.52.9L capital itself (ex-reserves) is LOCKED for 3 years under Sec 47(xiiib) — do not return it as capital before then, or the conversion becomes taxable. Interest/remuneration/profit share are fine.</t>
        </is>
      </c>
    </row>
    <row r="30" ht="30" customHeight="1">
      <c r="B30" s="9" t="inlineStr">
        <is>
          <t>After 3 years, capital can be withdrawn tax-free (return of capital) subject to the LLP agreement, solvency, and CA sign-off.</t>
        </is>
      </c>
    </row>
    <row r="31" ht="30" customHeight="1">
      <c r="B31" s="9" t="inlineStr">
        <is>
          <t>Not tax advice — validate with your CA.</t>
        </is>
      </c>
    </row>
  </sheetData>
  <mergeCells count="4">
    <mergeCell ref="B30:F30"/>
    <mergeCell ref="B29:F29"/>
    <mergeCell ref="B28:F28"/>
    <mergeCell ref="B31:F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2026-07-09T08:36:32Z</dcterms:created>
  <dcterms:modified xmlns:dcterms="http://purl.org/dc/terms/" xmlns:xsi="http://www.w3.org/2001/XMLSchema-instance" xsi:type="dcterms:W3CDTF">2026-07-09T08:36:32Z</dcterms:modified>
</cp:coreProperties>
</file>