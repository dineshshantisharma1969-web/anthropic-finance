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quidation Tax Model" sheetId="1" state="visible" r:id="rId1"/>
    <sheet xmlns:r="http://schemas.openxmlformats.org/officeDocument/2006/relationships" name="Shareholder Tax" sheetId="2" state="visible" r:id="rId2"/>
    <sheet xmlns:r="http://schemas.openxmlformats.org/officeDocument/2006/relationships" name="Land FMV Scenarios" sheetId="3" state="visible" r:id="rId3"/>
  </sheets>
  <definedNames/>
  <calcPr calcId="124519" fullCalcOnLoad="1"/>
</workbook>
</file>

<file path=xl/styles.xml><?xml version="1.0" encoding="utf-8"?>
<styleSheet xmlns="http://schemas.openxmlformats.org/spreadsheetml/2006/main">
  <numFmts count="3">
    <numFmt numFmtId="164" formatCode="₹ #,##0"/>
    <numFmt numFmtId="165" formatCode="0.0"/>
    <numFmt numFmtId="166" formatCode="0.0%"/>
  </numFmts>
  <fonts count="6">
    <font>
      <name val="Calibri"/>
      <family val="2"/>
      <color theme="1"/>
      <sz val="11"/>
      <scheme val="minor"/>
    </font>
    <font>
      <name val="Calibri"/>
      <b val="1"/>
      <color rgb="001F3864"/>
      <sz val="15"/>
    </font>
    <font>
      <name val="Calibri"/>
      <i val="1"/>
      <color rgb="00808080"/>
      <sz val="9"/>
    </font>
    <font>
      <name val="Calibri"/>
      <b val="1"/>
      <color rgb="00FFFFFF"/>
      <sz val="11"/>
    </font>
    <font>
      <name val="Calibri"/>
      <sz val="11"/>
    </font>
    <font>
      <name val="Calibri"/>
      <b val="1"/>
      <sz val="11"/>
    </font>
  </fonts>
  <fills count="5">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164" fontId="4" fillId="0" borderId="0" applyAlignment="1" pivotButton="0" quotePrefix="0" xfId="0">
      <alignment horizontal="right"/>
    </xf>
    <xf numFmtId="0" fontId="5" fillId="3" borderId="0" pivotButton="0" quotePrefix="0" xfId="0"/>
    <xf numFmtId="164" fontId="5" fillId="3" borderId="0" applyAlignment="1" pivotButton="0" quotePrefix="0" xfId="0">
      <alignment horizontal="right"/>
    </xf>
    <xf numFmtId="164" fontId="4" fillId="4" borderId="1" applyAlignment="1" pivotButton="0" quotePrefix="0" xfId="0">
      <alignment horizontal="right"/>
    </xf>
    <xf numFmtId="165" fontId="4" fillId="4" borderId="1" applyAlignment="1" pivotButton="0" quotePrefix="0" xfId="0">
      <alignment horizontal="right"/>
    </xf>
    <xf numFmtId="0" fontId="5" fillId="0" borderId="0" pivotButton="0" quotePrefix="0" xfId="0"/>
    <xf numFmtId="164" fontId="5" fillId="0" borderId="0" applyAlignment="1" pivotButton="0" quotePrefix="0" xfId="0">
      <alignment horizontal="right"/>
    </xf>
    <xf numFmtId="0" fontId="5" fillId="0" borderId="0" applyAlignment="1" pivotButton="0" quotePrefix="0" xfId="0">
      <alignment horizontal="right"/>
    </xf>
    <xf numFmtId="166" fontId="4" fillId="0" borderId="0" applyAlignment="1" pivotButton="0" quotePrefix="0" xfId="0">
      <alignment horizontal="right"/>
    </xf>
    <xf numFmtId="0" fontId="5" fillId="0" borderId="0" applyAlignment="1" pivotButton="0" quotePrefix="0" xfId="0">
      <alignment vertical="top" wrapText="1"/>
    </xf>
    <xf numFmtId="0" fontId="2" fillId="0" borderId="0" applyAlignment="1" pivotButton="0" quotePrefix="0" xfId="0">
      <alignment vertical="top" wrapText="1"/>
    </xf>
    <xf numFmtId="166" fontId="5" fillId="0" borderId="0" applyAlignment="1" pivotButton="0" quotePrefix="0" xfId="0">
      <alignment horizontal="right"/>
    </xf>
    <xf numFmtId="164" fontId="5" fillId="4" borderId="1" applyAlignment="1" pivotButton="0" quotePrefix="0" xfId="0">
      <alignment horizontal="right"/>
    </xf>
    <xf numFmtId="166" fontId="5" fillId="3"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60"/>
  <sheetViews>
    <sheetView showGridLines="0" workbookViewId="0">
      <selection activeCell="A1" sqref="A1"/>
    </sheetView>
  </sheetViews>
  <sheetFormatPr baseColWidth="8" defaultRowHeight="15"/>
  <cols>
    <col width="3" customWidth="1" min="1" max="1"/>
    <col width="52" customWidth="1" min="2" max="2"/>
    <col width="20" customWidth="1" min="3" max="3"/>
    <col width="20" customWidth="1" min="4" max="4"/>
    <col width="20" customWidth="1" min="5" max="5"/>
    <col width="42" customWidth="1" min="6" max="6"/>
  </cols>
  <sheetData>
    <row r="1">
      <c r="B1" s="1" t="inlineStr">
        <is>
          <t>BRIGHT AUTOCOMP PRIVATE LIMITED — Liquidation Tax Model</t>
        </is>
      </c>
    </row>
    <row r="2">
      <c r="B2" s="2" t="inlineStr">
        <is>
          <t>CIN U35122HR2007PTC037071 · based on audited financials FY2024-25 · all amounts in actual Rupees (financials were in Rs.'00). Planning model, not tax advice.</t>
        </is>
      </c>
    </row>
    <row r="4">
      <c r="B4" s="3" t="inlineStr">
        <is>
          <t>A.  EXTRACTED FROM FINANCIALS (31 March 2025)</t>
        </is>
      </c>
      <c r="C4" s="3" t="n"/>
      <c r="D4" s="3" t="n"/>
      <c r="E4" s="3" t="n"/>
      <c r="F4" s="3" t="n"/>
    </row>
    <row r="5">
      <c r="B5" s="4" t="inlineStr">
        <is>
          <t>Paid-up equity share capital (10,000 x Rs.10)</t>
        </is>
      </c>
      <c r="C5" s="5" t="n">
        <v>100000</v>
      </c>
    </row>
    <row r="6">
      <c r="B6" s="4" t="inlineStr">
        <is>
          <t>Reserve &amp; Surplus  = accumulated profits</t>
        </is>
      </c>
      <c r="C6" s="5" t="n">
        <v>5189668</v>
      </c>
      <c r="F6" s="2" t="inlineStr">
        <is>
          <t>Deemed-dividend base u/s 2(22)(c)</t>
        </is>
      </c>
    </row>
    <row r="7">
      <c r="B7" s="4" t="inlineStr">
        <is>
          <t>Land &amp; Building — book value / WDV</t>
        </is>
      </c>
      <c r="C7" s="5" t="n">
        <v>14574847</v>
      </c>
      <c r="F7" s="2" t="inlineStr">
        <is>
          <t>IMT Manesar plot · 0% depreciation · likely worth MUCH more at market</t>
        </is>
      </c>
    </row>
    <row r="8">
      <c r="B8" s="4" t="inlineStr">
        <is>
          <t>Other assets (FD + receivables + cash)</t>
        </is>
      </c>
      <c r="C8" s="5" t="n">
        <v>6478085</v>
      </c>
    </row>
    <row r="9">
      <c r="B9" s="4" t="inlineStr">
        <is>
          <t>Total external liabilities (incl. Rs.1.54 cr related-party loan)</t>
        </is>
      </c>
      <c r="C9" s="5" t="n">
        <v>15763264</v>
      </c>
      <c r="F9" s="2" t="inlineStr">
        <is>
          <t>Must be repaid before any distribution to shareholders</t>
        </is>
      </c>
    </row>
    <row r="10">
      <c r="B10" s="6" t="inlineStr">
        <is>
          <t>Net assets at book (= shareholders' funds)</t>
        </is>
      </c>
      <c r="C10" s="7">
        <f>C5+C6</f>
        <v/>
      </c>
      <c r="F10" s="2" t="inlineStr">
        <is>
          <t>Book value distributable if assets fetch only book value</t>
        </is>
      </c>
    </row>
    <row r="12">
      <c r="B12" s="3" t="inlineStr">
        <is>
          <t>B.  ASSUMPTIONS  — edit the yellow cells</t>
        </is>
      </c>
      <c r="C12" s="3" t="n"/>
      <c r="D12" s="3" t="n"/>
      <c r="E12" s="3" t="n"/>
      <c r="F12" s="3" t="n"/>
    </row>
    <row r="13">
      <c r="B13" s="4" t="inlineStr">
        <is>
          <t>Land &amp; Building — MARKET VALUE (FMV) on sale</t>
        </is>
      </c>
      <c r="C13" s="8" t="n">
        <v>14574847</v>
      </c>
      <c r="F13" s="2" t="inlineStr">
        <is>
          <t>** KEY INPUT ** default = book. Enter the real Manesar market value.</t>
        </is>
      </c>
    </row>
    <row r="14">
      <c r="B14" s="4" t="inlineStr">
        <is>
          <t>Cost of Land for capital-gains (indexed cost if opting)</t>
        </is>
      </c>
      <c r="C14" s="8" t="n">
        <v>14574847</v>
      </c>
      <c r="F14" s="2" t="inlineStr">
        <is>
          <t>Original cost; no indexation under the 12.5% regime</t>
        </is>
      </c>
    </row>
    <row r="15">
      <c r="B15" s="4" t="inlineStr">
        <is>
          <t>Company LTCG rate %  (post 23-Jul-2024 = 12.5)</t>
        </is>
      </c>
      <c r="C15" s="9" t="n">
        <v>12.5</v>
      </c>
    </row>
    <row r="16">
      <c r="B16" s="4" t="inlineStr">
        <is>
          <t>Company surcharge %  (7 if income &lt;=10cr, else 12)</t>
        </is>
      </c>
      <c r="C16" s="9" t="n">
        <v>12</v>
      </c>
    </row>
    <row r="17">
      <c r="B17" s="4" t="inlineStr">
        <is>
          <t>Health &amp; education cess %</t>
        </is>
      </c>
      <c r="C17" s="9" t="n">
        <v>4</v>
      </c>
    </row>
    <row r="18">
      <c r="B18" s="4" t="inlineStr">
        <is>
          <t>Shareholders' marginal tax rate % (incl. cess)</t>
        </is>
      </c>
      <c r="C18" s="9" t="n">
        <v>31.2</v>
      </c>
      <c r="F18" s="2" t="inlineStr">
        <is>
          <t>Deemed dividend taxed at slab; 31.2 = 30%+cess. Use 35.88/39 if surcharge applies</t>
        </is>
      </c>
    </row>
    <row r="19">
      <c r="B19" s="4" t="inlineStr">
        <is>
          <t>Cost of acquisition of shares (both shareholders)</t>
        </is>
      </c>
      <c r="C19" s="8" t="n">
        <v>100000</v>
      </c>
      <c r="F19" s="2" t="inlineStr">
        <is>
          <t>Subscribed at par, no bonus (Note 3.4)</t>
        </is>
      </c>
    </row>
    <row r="21">
      <c r="B21" s="3" t="inlineStr">
        <is>
          <t>C.  COMPANY-LEVEL TAX  (on realising assets to raise cash)</t>
        </is>
      </c>
      <c r="C21" s="3" t="n"/>
      <c r="D21" s="3" t="n"/>
      <c r="E21" s="3" t="n"/>
      <c r="F21" s="3" t="n"/>
    </row>
    <row r="22">
      <c r="B22" s="4" t="inlineStr">
        <is>
          <t>Capital gain on Land &amp; Building  = FMV - cost</t>
        </is>
      </c>
      <c r="C22" s="5">
        <f>MAX(0,C13-C14)</f>
        <v/>
      </c>
      <c r="F22" s="2" t="inlineStr">
        <is>
          <t>Sec 45; nil if land sold only at book value</t>
        </is>
      </c>
    </row>
    <row r="23">
      <c r="B23" s="6" t="inlineStr">
        <is>
          <t>Company LTCG tax  = gain x rate x (1+surcharge) x (1+cess)</t>
        </is>
      </c>
      <c r="C23" s="7">
        <f>ROUND(C22*C15/100*(1+C16/100)*(1+C17/100),0)</f>
        <v/>
      </c>
      <c r="F23" s="2" t="inlineStr">
        <is>
          <t>Payable by the company before distributing</t>
        </is>
      </c>
    </row>
    <row r="25">
      <c r="B25" s="3" t="inlineStr">
        <is>
          <t>D.  AMOUNT DISTRIBUTABLE TO SHAREHOLDERS</t>
        </is>
      </c>
      <c r="C25" s="3" t="n"/>
      <c r="D25" s="3" t="n"/>
      <c r="E25" s="3" t="n"/>
      <c r="F25" s="3" t="n"/>
    </row>
    <row r="26">
      <c r="B26" s="4" t="inlineStr">
        <is>
          <t>Book profit on land sale (FMV - book)</t>
        </is>
      </c>
      <c r="C26" s="5">
        <f>MAX(0,C13-C7)</f>
        <v/>
      </c>
    </row>
    <row r="27">
      <c r="B27" s="4" t="inlineStr">
        <is>
          <t>Accumulated profits after sale (net of company tax)</t>
        </is>
      </c>
      <c r="C27" s="5">
        <f>C6+C26-C23</f>
        <v/>
      </c>
      <c r="F27" s="2" t="inlineStr">
        <is>
          <t>Reserves + realised gain - company tax</t>
        </is>
      </c>
    </row>
    <row r="28">
      <c r="B28" s="6" t="inlineStr">
        <is>
          <t>Total distribution to shareholders</t>
        </is>
      </c>
      <c r="C28" s="7">
        <f>C5+C27</f>
        <v/>
      </c>
      <c r="F28" s="2" t="inlineStr">
        <is>
          <t>Return of capital + post-tax reserves</t>
        </is>
      </c>
    </row>
    <row r="30">
      <c r="B30" s="3" t="inlineStr">
        <is>
          <t>E.  SHAREHOLDER-LEVEL TAX</t>
        </is>
      </c>
      <c r="C30" s="3" t="n"/>
      <c r="D30" s="3" t="n"/>
      <c r="E30" s="3" t="n"/>
      <c r="F30" s="3" t="n"/>
    </row>
    <row r="31">
      <c r="B31" s="4" t="inlineStr">
        <is>
          <t>Deemed dividend u/s 2(22)(c)  = accumulated profits</t>
        </is>
      </c>
      <c r="C31" s="5">
        <f>C27</f>
        <v/>
      </c>
      <c r="F31" s="2" t="inlineStr">
        <is>
          <t>Taxed as dividend at slab in shareholders' hands</t>
        </is>
      </c>
    </row>
    <row r="32">
      <c r="B32" s="4" t="inlineStr">
        <is>
          <t>Capital gains u/s 46(2)  = distribution - dividend - cost</t>
        </is>
      </c>
      <c r="C32" s="5">
        <f>MAX(0,C28-C31-C19)</f>
        <v/>
      </c>
      <c r="F32" s="2" t="inlineStr">
        <is>
          <t>Usually 0 — the gain flows through reserves as dividend</t>
        </is>
      </c>
    </row>
    <row r="33">
      <c r="B33" s="4" t="inlineStr">
        <is>
          <t>Return of capital (tax-free)  = min(cost, distribution-dividend)</t>
        </is>
      </c>
      <c r="C33" s="5">
        <f>MIN(C19,C28-C31)</f>
        <v/>
      </c>
      <c r="F33" s="2" t="inlineStr">
        <is>
          <t>Your own money back — not taxed</t>
        </is>
      </c>
    </row>
    <row r="34">
      <c r="B34" s="10" t="inlineStr">
        <is>
          <t>Tax on deemed dividend  = dividend x marginal rate</t>
        </is>
      </c>
      <c r="C34" s="11">
        <f>ROUND(C31*C18/100,0)</f>
        <v/>
      </c>
    </row>
    <row r="35">
      <c r="B35" s="4" t="inlineStr">
        <is>
          <t>Tax on 46(2) capital gains @ 12.5%+cess</t>
        </is>
      </c>
      <c r="C35" s="5">
        <f>ROUND(C32*12.5/100*(1+C17/100),0)</f>
        <v/>
      </c>
    </row>
    <row r="36">
      <c r="B36" s="6" t="inlineStr">
        <is>
          <t>TOTAL shareholder tax (both shareholders)</t>
        </is>
      </c>
      <c r="C36" s="7">
        <f>C34+C35</f>
        <v/>
      </c>
    </row>
    <row r="38">
      <c r="B38" s="3" t="inlineStr">
        <is>
          <t>F.  PER SHAREHOLDER  (Bikram Singh Chadha 50% · Sonu Chadha 50%)</t>
        </is>
      </c>
      <c r="C38" s="3" t="n"/>
      <c r="D38" s="3" t="n"/>
      <c r="E38" s="3" t="n"/>
      <c r="F38" s="3" t="n"/>
    </row>
    <row r="39">
      <c r="C39" s="12" t="inlineStr">
        <is>
          <t>Each (50%)</t>
        </is>
      </c>
    </row>
    <row r="40">
      <c r="B40" s="4" t="inlineStr">
        <is>
          <t>Distribution received</t>
        </is>
      </c>
      <c r="C40" s="5">
        <f>C28/2</f>
        <v/>
      </c>
    </row>
    <row r="41">
      <c r="B41" s="4" t="inlineStr">
        <is>
          <t xml:space="preserve">  of which deemed dividend</t>
        </is>
      </c>
      <c r="C41" s="5">
        <f>C31/2</f>
        <v/>
      </c>
    </row>
    <row r="42">
      <c r="B42" s="4" t="inlineStr">
        <is>
          <t xml:space="preserve">  of which tax-free return of capital</t>
        </is>
      </c>
      <c r="C42" s="5">
        <f>C33/2</f>
        <v/>
      </c>
    </row>
    <row r="43">
      <c r="B43" s="10" t="inlineStr">
        <is>
          <t>Personal tax payable</t>
        </is>
      </c>
      <c r="C43" s="11">
        <f>(C34+C35)/2</f>
        <v/>
      </c>
    </row>
    <row r="44">
      <c r="B44" s="6" t="inlineStr">
        <is>
          <t>Net in hand after personal tax</t>
        </is>
      </c>
      <c r="C44" s="7">
        <f>C40-C43</f>
        <v/>
      </c>
    </row>
    <row r="46">
      <c r="B46" s="3" t="inlineStr">
        <is>
          <t>G.  SUMMARY — total tax cost of liquidation</t>
        </is>
      </c>
      <c r="C46" s="3" t="n"/>
      <c r="D46" s="3" t="n"/>
      <c r="E46" s="3" t="n"/>
      <c r="F46" s="3" t="n"/>
    </row>
    <row r="47">
      <c r="B47" s="4" t="inlineStr">
        <is>
          <t>Company-level tax</t>
        </is>
      </c>
      <c r="C47" s="5">
        <f>C23</f>
        <v/>
      </c>
    </row>
    <row r="48">
      <c r="B48" s="4" t="inlineStr">
        <is>
          <t>Shareholder-level tax</t>
        </is>
      </c>
      <c r="C48" s="5">
        <f>C36</f>
        <v/>
      </c>
    </row>
    <row r="49">
      <c r="B49" s="6" t="inlineStr">
        <is>
          <t>TOTAL TAX (company + shareholders)</t>
        </is>
      </c>
      <c r="C49" s="7">
        <f>C23+C36</f>
        <v/>
      </c>
    </row>
    <row r="50">
      <c r="B50" s="10" t="inlineStr">
        <is>
          <t>Net reaching shareholders after ALL tax</t>
        </is>
      </c>
      <c r="C50" s="11">
        <f>C28-C36</f>
        <v/>
      </c>
    </row>
    <row r="51">
      <c r="B51" s="4" t="inlineStr">
        <is>
          <t>Total tax as % of amount realised</t>
        </is>
      </c>
      <c r="C51" s="13">
        <f>(C23+C36)/(C28+C23)</f>
        <v/>
      </c>
    </row>
    <row r="53">
      <c r="B53" s="14" t="inlineStr">
        <is>
          <t>KEY POINTS</t>
        </is>
      </c>
    </row>
    <row r="54" ht="30" customHeight="1">
      <c r="B54" s="15" t="inlineStr">
        <is>
          <t>1. At BOOK value (default) the tax is modest: deemed dividend on Rs.51.9L reserves at slab; capital gains nil (the Rs.1L over reserves = paid-up capital = cost). Company tax nil (land at book).</t>
        </is>
      </c>
    </row>
    <row r="55" ht="30" customHeight="1">
      <c r="B55" s="15" t="inlineStr">
        <is>
          <t>2. The REAL driver is the Manesar land. Enter its market value in the yellow FMV cell: the gain is taxed at the company (12.5% LTCG + surcharge + cess), and the post-tax gain swells the reserves, so shareholders pay slab tax on a much larger deemed dividend. Total tax rises steeply with FMV.</t>
        </is>
      </c>
    </row>
    <row r="56" ht="30" customHeight="1">
      <c r="B56" s="15" t="inlineStr">
        <is>
          <t>3. Return of the Rs.1,00,000 paid-up capital is NOT taxed (recovered as cost of shares).</t>
        </is>
      </c>
    </row>
    <row r="57" ht="30" customHeight="1">
      <c r="B57" s="15" t="inlineStr">
        <is>
          <t>4. The Rs.1.54 cr related-party loan and all creditors must be repaid before shareholders receive anything.</t>
        </is>
      </c>
    </row>
    <row r="58" ht="30" customHeight="1">
      <c r="B58" s="15" t="inlineStr">
        <is>
          <t>5. TDS u/s 194 may apply on the deemed dividend. Shareholder tax shown at a single marginal rate — actual depends on each shareholder's total income and surcharge; edit the rate cell.</t>
        </is>
      </c>
    </row>
    <row r="59" ht="30" customHeight="1">
      <c r="B59" s="15" t="inlineStr">
        <is>
          <t>6. Compare with a statutory conversion to LLP (Sec 47(xiiib)) which can avoid ALL of the above — see the llp-partner-withdrawal-calculator folder.</t>
        </is>
      </c>
    </row>
    <row r="60" ht="30" customHeight="1">
      <c r="B60" s="15" t="inlineStr">
        <is>
          <t>Not tax advice. Validate with your CA before acting.</t>
        </is>
      </c>
    </row>
  </sheetData>
  <mergeCells count="8">
    <mergeCell ref="B53:F53"/>
    <mergeCell ref="B55:F55"/>
    <mergeCell ref="B54:F54"/>
    <mergeCell ref="B58:F58"/>
    <mergeCell ref="B59:F59"/>
    <mergeCell ref="B60:F60"/>
    <mergeCell ref="B56:F56"/>
    <mergeCell ref="B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23"/>
  <sheetViews>
    <sheetView showGridLines="0" workbookViewId="0">
      <selection activeCell="A1" sqref="A1"/>
    </sheetView>
  </sheetViews>
  <sheetFormatPr baseColWidth="8" defaultRowHeight="15"/>
  <cols>
    <col width="3" customWidth="1" min="1" max="1"/>
    <col width="50" customWidth="1" min="2" max="2"/>
    <col width="20" customWidth="1" min="3" max="3"/>
    <col width="20" customWidth="1" min="4" max="4"/>
    <col width="40" customWidth="1" min="5" max="5"/>
  </cols>
  <sheetData>
    <row r="1">
      <c r="B1" s="1" t="inlineStr">
        <is>
          <t>Tax in the hands of SHAREHOLDERS on the amount they receive</t>
        </is>
      </c>
    </row>
    <row r="2">
      <c r="B2" s="2" t="inlineStr">
        <is>
          <t>Everything a shareholder receives on liquidation falls into three buckets, each taxed differently. Driven by the FMV on the 'Liquidation Tax Model' sheet.</t>
        </is>
      </c>
    </row>
    <row r="4">
      <c r="C4" s="12" t="inlineStr">
        <is>
          <t>Both (100%)</t>
        </is>
      </c>
      <c r="D4" s="12" t="inlineStr">
        <is>
          <t>Each partner (50%)</t>
        </is>
      </c>
    </row>
    <row r="5">
      <c r="B5" s="6" t="inlineStr">
        <is>
          <t>TOTAL AMOUNT RECEIVED by shareholders</t>
        </is>
      </c>
      <c r="C5" s="7">
        <f>'Liquidation Tax Model'!C28</f>
        <v/>
      </c>
      <c r="D5" s="7">
        <f>C5/2</f>
        <v/>
      </c>
    </row>
    <row r="7">
      <c r="B7" s="10" t="inlineStr">
        <is>
          <t>Split into three tax buckets:</t>
        </is>
      </c>
    </row>
    <row r="8">
      <c r="B8" s="4" t="inlineStr">
        <is>
          <t>① Return of paid-up capital</t>
        </is>
      </c>
      <c r="C8" s="5">
        <f>'Liquidation Tax Model'!C33</f>
        <v/>
      </c>
      <c r="D8" s="5">
        <f>C8/2</f>
        <v/>
      </c>
      <c r="E8" s="2" t="inlineStr">
        <is>
          <t>TAX-FREE — your own money, recovered as cost of shares u/s 46(2)</t>
        </is>
      </c>
    </row>
    <row r="9">
      <c r="B9" s="4" t="inlineStr">
        <is>
          <t>② Deemed dividend u/s 2(22)(c)</t>
        </is>
      </c>
      <c r="C9" s="5">
        <f>'Liquidation Tax Model'!C31</f>
        <v/>
      </c>
      <c r="D9" s="5">
        <f>C9/2</f>
        <v/>
      </c>
      <c r="E9" s="2" t="inlineStr">
        <is>
          <t>Reserves / accumulated profits — TAXABLE at slab</t>
        </is>
      </c>
    </row>
    <row r="10">
      <c r="B10" s="4" t="inlineStr">
        <is>
          <t>③ Capital gains u/s 46(2)</t>
        </is>
      </c>
      <c r="C10" s="5">
        <f>'Liquidation Tax Model'!C32</f>
        <v/>
      </c>
      <c r="D10" s="5">
        <f>C10/2</f>
        <v/>
      </c>
      <c r="E10" s="2" t="inlineStr">
        <is>
          <t>Amount above (dividend + cost) — TAXABLE as LTCG 12.5%</t>
        </is>
      </c>
    </row>
    <row r="11">
      <c r="B11" s="4" t="inlineStr">
        <is>
          <t xml:space="preserve">   Check: buckets ①+②+③ = total received</t>
        </is>
      </c>
      <c r="C11" s="5">
        <f>'Liquidation Tax Model'!C33+'Liquidation Tax Model'!C31+'Liquidation Tax Model'!C32</f>
        <v/>
      </c>
      <c r="D11" s="5">
        <f>C11/2</f>
        <v/>
      </c>
      <c r="E11" s="2" t="inlineStr">
        <is>
          <t>Must equal the total amount received above</t>
        </is>
      </c>
    </row>
    <row r="13">
      <c r="B13" s="10" t="inlineStr">
        <is>
          <t>Tax on each bucket:</t>
        </is>
      </c>
    </row>
    <row r="14">
      <c r="B14" s="4" t="inlineStr">
        <is>
          <t>Tax on ① return of capital</t>
        </is>
      </c>
      <c r="C14" s="5">
        <f>0</f>
        <v/>
      </c>
      <c r="D14" s="5">
        <f>C14/2</f>
        <v/>
      </c>
      <c r="E14" s="2" t="inlineStr">
        <is>
          <t>Nil — not income</t>
        </is>
      </c>
    </row>
    <row r="15">
      <c r="B15" s="4" t="inlineStr">
        <is>
          <t>Tax on ② deemed dividend  (at marginal slab)</t>
        </is>
      </c>
      <c r="C15" s="5">
        <f>'Liquidation Tax Model'!C34</f>
        <v/>
      </c>
      <c r="D15" s="5">
        <f>C15/2</f>
        <v/>
      </c>
      <c r="E15" s="2">
        <f> dividend x shareholders' rate cell</f>
        <v/>
      </c>
    </row>
    <row r="16">
      <c r="B16" s="4" t="inlineStr">
        <is>
          <t>Tax on ③ capital gains 46(2) @ 12.5% + cess</t>
        </is>
      </c>
      <c r="C16" s="5">
        <f>'Liquidation Tax Model'!C35</f>
        <v/>
      </c>
      <c r="D16" s="5">
        <f>C16/2</f>
        <v/>
      </c>
    </row>
    <row r="17">
      <c r="B17" s="6" t="inlineStr">
        <is>
          <t>TOTAL TAX in shareholders' hands</t>
        </is>
      </c>
      <c r="C17" s="7">
        <f>'Liquidation Tax Model'!C34+'Liquidation Tax Model'!C35</f>
        <v/>
      </c>
      <c r="D17" s="7">
        <f>C17/2</f>
        <v/>
      </c>
    </row>
    <row r="18">
      <c r="B18" s="10" t="inlineStr">
        <is>
          <t>NET RETAINED after tax</t>
        </is>
      </c>
      <c r="C18" s="11">
        <f>'Liquidation Tax Model'!C28-'Liquidation Tax Model'!C34-'Liquidation Tax Model'!C35</f>
        <v/>
      </c>
      <c r="D18" s="11">
        <f>C18/2</f>
        <v/>
      </c>
    </row>
    <row r="19">
      <c r="B19" s="10" t="inlineStr">
        <is>
          <t>Effective tax rate on amount received</t>
        </is>
      </c>
      <c r="C19" s="16">
        <f>('Liquidation Tax Model'!C34+'Liquidation Tax Model'!C35)/'Liquidation Tax Model'!C28</f>
        <v/>
      </c>
      <c r="D19" s="16">
        <f>C19</f>
        <v/>
      </c>
    </row>
    <row r="21" ht="30" customHeight="1">
      <c r="B21" s="15" t="inlineStr">
        <is>
          <t>Bottom line on the CAPITAL a shareholder receives: the return of the Rs.1,00,000 paid-up capital (Rs.50,000 each) is TAX-FREE. What is taxed is the reserves (as deemed dividend at slab) and any surplus over cost (as capital gains). At book value there is no capital gain, so only the reserves are taxed.</t>
        </is>
      </c>
    </row>
    <row r="22" ht="30" customHeight="1">
      <c r="B22" s="15" t="inlineStr">
        <is>
          <t>Raise the land FMV on the model sheet and bucket ② (deemed dividend) grows — that is where the tax is.</t>
        </is>
      </c>
    </row>
    <row r="23" ht="30" customHeight="1">
      <c r="B23" s="15" t="inlineStr">
        <is>
          <t>TDS u/s 194 may be deducted by the company on the deemed dividend. Not tax advice.</t>
        </is>
      </c>
    </row>
  </sheetData>
  <mergeCells count="3">
    <mergeCell ref="B23:E23"/>
    <mergeCell ref="B22:E22"/>
    <mergeCell ref="B21:E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19"/>
  <sheetViews>
    <sheetView showGridLines="0" workbookViewId="0">
      <selection activeCell="A1" sqref="A1"/>
    </sheetView>
  </sheetViews>
  <sheetFormatPr baseColWidth="8" defaultRowHeight="15"/>
  <cols>
    <col width="3" customWidth="1" min="1" max="1"/>
    <col width="46" customWidth="1" min="2" max="2"/>
    <col width="18" customWidth="1" min="3" max="3"/>
    <col width="18" customWidth="1" min="4" max="4"/>
    <col width="18" customWidth="1" min="5" max="5"/>
    <col width="18" customWidth="1" min="6" max="6"/>
    <col width="18" customWidth="1" min="7" max="7"/>
    <col width="18" customWidth="1" min="8" max="8"/>
  </cols>
  <sheetData>
    <row r="1">
      <c r="B1" s="1" t="inlineStr">
        <is>
          <t>Land &amp; Building — Market-Value Sensitivity  (capital-gains tax at each FMV)</t>
        </is>
      </c>
    </row>
    <row r="2">
      <c r="B2" s="2" t="inlineStr">
        <is>
          <t>Edit the yellow market-value row — every column recalculates. Rates pull from the 'Liquidation Tax Model' sheet (assumptions section).</t>
        </is>
      </c>
    </row>
    <row r="4">
      <c r="B4" s="10" t="inlineStr">
        <is>
          <t>Land &amp; Building MARKET VALUE (FMV)  — EDIT ►</t>
        </is>
      </c>
      <c r="C4" s="17">
        <f>'Liquidation Tax Model'!C7</f>
        <v/>
      </c>
      <c r="D4" s="17" t="n">
        <v>25000000</v>
      </c>
      <c r="E4" s="17" t="n">
        <v>50000000</v>
      </c>
      <c r="F4" s="17" t="n">
        <v>75000000</v>
      </c>
      <c r="G4" s="17" t="n">
        <v>100000000</v>
      </c>
      <c r="H4" s="17" t="n">
        <v>150000000</v>
      </c>
    </row>
    <row r="5">
      <c r="B5" s="4" t="inlineStr">
        <is>
          <t>Company capital gain on land  (FMV − cost)</t>
        </is>
      </c>
      <c r="C5" s="5">
        <f>MAX(0,C4-'Liquidation Tax Model'!C14)</f>
        <v/>
      </c>
      <c r="D5" s="5">
        <f>MAX(0,D4-'Liquidation Tax Model'!C14)</f>
        <v/>
      </c>
      <c r="E5" s="5">
        <f>MAX(0,E4-'Liquidation Tax Model'!C14)</f>
        <v/>
      </c>
      <c r="F5" s="5">
        <f>MAX(0,F4-'Liquidation Tax Model'!C14)</f>
        <v/>
      </c>
      <c r="G5" s="5">
        <f>MAX(0,G4-'Liquidation Tax Model'!C14)</f>
        <v/>
      </c>
      <c r="H5" s="5">
        <f>MAX(0,H4-'Liquidation Tax Model'!C14)</f>
        <v/>
      </c>
    </row>
    <row r="6">
      <c r="B6" s="6" t="inlineStr">
        <is>
          <t>Company LTCG tax  (rate + surcharge + cess)</t>
        </is>
      </c>
      <c r="C6" s="7">
        <f>ROUND(C5*'Liquidation Tax Model'!C15/100*(1+'Liquidation Tax Model'!C16/100)*(1+'Liquidation Tax Model'!C17/100),0)</f>
        <v/>
      </c>
      <c r="D6" s="7">
        <f>ROUND(D5*'Liquidation Tax Model'!C15/100*(1+'Liquidation Tax Model'!C16/100)*(1+'Liquidation Tax Model'!C17/100),0)</f>
        <v/>
      </c>
      <c r="E6" s="7">
        <f>ROUND(E5*'Liquidation Tax Model'!C15/100*(1+'Liquidation Tax Model'!C16/100)*(1+'Liquidation Tax Model'!C17/100),0)</f>
        <v/>
      </c>
      <c r="F6" s="7">
        <f>ROUND(F5*'Liquidation Tax Model'!C15/100*(1+'Liquidation Tax Model'!C16/100)*(1+'Liquidation Tax Model'!C17/100),0)</f>
        <v/>
      </c>
      <c r="G6" s="7">
        <f>ROUND(G5*'Liquidation Tax Model'!C15/100*(1+'Liquidation Tax Model'!C16/100)*(1+'Liquidation Tax Model'!C17/100),0)</f>
        <v/>
      </c>
      <c r="H6" s="7">
        <f>ROUND(H5*'Liquidation Tax Model'!C15/100*(1+'Liquidation Tax Model'!C16/100)*(1+'Liquidation Tax Model'!C17/100),0)</f>
        <v/>
      </c>
    </row>
    <row r="7">
      <c r="B7" s="4" t="inlineStr">
        <is>
          <t>Book profit added to reserves  (FMV − book)</t>
        </is>
      </c>
      <c r="C7" s="5">
        <f>MAX(0,C4-'Liquidation Tax Model'!C7)</f>
        <v/>
      </c>
      <c r="D7" s="5">
        <f>MAX(0,D4-'Liquidation Tax Model'!C7)</f>
        <v/>
      </c>
      <c r="E7" s="5">
        <f>MAX(0,E4-'Liquidation Tax Model'!C7)</f>
        <v/>
      </c>
      <c r="F7" s="5">
        <f>MAX(0,F4-'Liquidation Tax Model'!C7)</f>
        <v/>
      </c>
      <c r="G7" s="5">
        <f>MAX(0,G4-'Liquidation Tax Model'!C7)</f>
        <v/>
      </c>
      <c r="H7" s="5">
        <f>MAX(0,H4-'Liquidation Tax Model'!C7)</f>
        <v/>
      </c>
    </row>
    <row r="8">
      <c r="B8" s="4" t="inlineStr">
        <is>
          <t>Accumulated profits after sale  (= deemed dividend)</t>
        </is>
      </c>
      <c r="C8" s="5">
        <f>'Liquidation Tax Model'!C6+C7-C6</f>
        <v/>
      </c>
      <c r="D8" s="5">
        <f>'Liquidation Tax Model'!C6+D7-D6</f>
        <v/>
      </c>
      <c r="E8" s="5">
        <f>'Liquidation Tax Model'!C6+E7-E6</f>
        <v/>
      </c>
      <c r="F8" s="5">
        <f>'Liquidation Tax Model'!C6+F7-F6</f>
        <v/>
      </c>
      <c r="G8" s="5">
        <f>'Liquidation Tax Model'!C6+G7-G6</f>
        <v/>
      </c>
      <c r="H8" s="5">
        <f>'Liquidation Tax Model'!C6+H7-H6</f>
        <v/>
      </c>
    </row>
    <row r="9">
      <c r="B9" s="4" t="inlineStr">
        <is>
          <t>Total distribution to shareholders</t>
        </is>
      </c>
      <c r="C9" s="5">
        <f>'Liquidation Tax Model'!C5+C8</f>
        <v/>
      </c>
      <c r="D9" s="5">
        <f>'Liquidation Tax Model'!C5+D8</f>
        <v/>
      </c>
      <c r="E9" s="5">
        <f>'Liquidation Tax Model'!C5+E8</f>
        <v/>
      </c>
      <c r="F9" s="5">
        <f>'Liquidation Tax Model'!C5+F8</f>
        <v/>
      </c>
      <c r="G9" s="5">
        <f>'Liquidation Tax Model'!C5+G8</f>
        <v/>
      </c>
      <c r="H9" s="5">
        <f>'Liquidation Tax Model'!C5+H8</f>
        <v/>
      </c>
    </row>
    <row r="10">
      <c r="B10" s="6" t="inlineStr">
        <is>
          <t>Shareholder tax on deemed dividend  (slab)</t>
        </is>
      </c>
      <c r="C10" s="7">
        <f>ROUND(C8*'Liquidation Tax Model'!C18/100,0)</f>
        <v/>
      </c>
      <c r="D10" s="7">
        <f>ROUND(D8*'Liquidation Tax Model'!C18/100,0)</f>
        <v/>
      </c>
      <c r="E10" s="7">
        <f>ROUND(E8*'Liquidation Tax Model'!C18/100,0)</f>
        <v/>
      </c>
      <c r="F10" s="7">
        <f>ROUND(F8*'Liquidation Tax Model'!C18/100,0)</f>
        <v/>
      </c>
      <c r="G10" s="7">
        <f>ROUND(G8*'Liquidation Tax Model'!C18/100,0)</f>
        <v/>
      </c>
      <c r="H10" s="7">
        <f>ROUND(H8*'Liquidation Tax Model'!C18/100,0)</f>
        <v/>
      </c>
    </row>
    <row r="11">
      <c r="B11" s="4" t="inlineStr">
        <is>
          <t>Capital gains u/s 46(2)</t>
        </is>
      </c>
      <c r="C11" s="5">
        <f>MAX(0,C9-C8-'Liquidation Tax Model'!C19)</f>
        <v/>
      </c>
      <c r="D11" s="5">
        <f>MAX(0,D9-D8-'Liquidation Tax Model'!C19)</f>
        <v/>
      </c>
      <c r="E11" s="5">
        <f>MAX(0,E9-E8-'Liquidation Tax Model'!C19)</f>
        <v/>
      </c>
      <c r="F11" s="5">
        <f>MAX(0,F9-F8-'Liquidation Tax Model'!C19)</f>
        <v/>
      </c>
      <c r="G11" s="5">
        <f>MAX(0,G9-G8-'Liquidation Tax Model'!C19)</f>
        <v/>
      </c>
      <c r="H11" s="5">
        <f>MAX(0,H9-H8-'Liquidation Tax Model'!C19)</f>
        <v/>
      </c>
    </row>
    <row r="12">
      <c r="B12" s="6" t="inlineStr">
        <is>
          <t>TOTAL TAX  (company + shareholders)</t>
        </is>
      </c>
      <c r="C12" s="7">
        <f>C6+C10</f>
        <v/>
      </c>
      <c r="D12" s="7">
        <f>D6+D10</f>
        <v/>
      </c>
      <c r="E12" s="7">
        <f>E6+E10</f>
        <v/>
      </c>
      <c r="F12" s="7">
        <f>F6+F10</f>
        <v/>
      </c>
      <c r="G12" s="7">
        <f>G6+G10</f>
        <v/>
      </c>
      <c r="H12" s="7">
        <f>H6+H10</f>
        <v/>
      </c>
    </row>
    <row r="13">
      <c r="B13" s="6" t="inlineStr">
        <is>
          <t>Net reaching shareholders after ALL tax</t>
        </is>
      </c>
      <c r="C13" s="7">
        <f>C9-C10</f>
        <v/>
      </c>
      <c r="D13" s="7">
        <f>D9-D10</f>
        <v/>
      </c>
      <c r="E13" s="7">
        <f>E9-E10</f>
        <v/>
      </c>
      <c r="F13" s="7">
        <f>F9-F10</f>
        <v/>
      </c>
      <c r="G13" s="7">
        <f>G9-G10</f>
        <v/>
      </c>
      <c r="H13" s="7">
        <f>H9-H10</f>
        <v/>
      </c>
    </row>
    <row r="14">
      <c r="B14" s="6" t="inlineStr">
        <is>
          <t>Total tax as % of amount realised</t>
        </is>
      </c>
      <c r="C14" s="18">
        <f>(C6+C10)/(C9+C6)</f>
        <v/>
      </c>
      <c r="D14" s="18">
        <f>(D6+D10)/(D9+D6)</f>
        <v/>
      </c>
      <c r="E14" s="18">
        <f>(E6+E10)/(E9+E6)</f>
        <v/>
      </c>
      <c r="F14" s="18">
        <f>(F6+F10)/(F9+F6)</f>
        <v/>
      </c>
      <c r="G14" s="18">
        <f>(G6+G10)/(G9+G6)</f>
        <v/>
      </c>
      <c r="H14" s="18">
        <f>(H6+H10)/(H9+H6)</f>
        <v/>
      </c>
    </row>
    <row r="16" ht="28" customHeight="1">
      <c r="B16" s="15" t="inlineStr">
        <is>
          <t>How to use: type any market value into the yellow row and read the TOTAL TAX and NET columns.</t>
        </is>
      </c>
    </row>
    <row r="17" ht="28" customHeight="1">
      <c r="B17" s="15" t="inlineStr">
        <is>
          <t>The company pays 12.5% LTCG (+surcharge +cess) on the land gain; the post-tax gain enlarges the reserves, so shareholders then pay slab tax on a bigger deemed dividend. That is why total tax climbs fast with the land value.</t>
        </is>
      </c>
    </row>
    <row r="18" ht="28" customHeight="1">
      <c r="B18" s="15" t="inlineStr">
        <is>
          <t>Sec 46(2) capital gain stays ~nil because the only sum above reserves is the paid-up capital, which equals its cost. Return of that capital is tax-free.</t>
        </is>
      </c>
    </row>
    <row r="19" ht="28" customHeight="1">
      <c r="B19" s="15" t="inlineStr">
        <is>
          <t>Change the rates (LTCG %, surcharge %, shareholder slab %) on the 'Liquidation Tax Model' sheet — every scenario updates.</t>
        </is>
      </c>
    </row>
  </sheetData>
  <mergeCells count="4">
    <mergeCell ref="B19:H19"/>
    <mergeCell ref="B16:H16"/>
    <mergeCell ref="B17:H17"/>
    <mergeCell ref="B18:H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2026-07-09T08:21:03Z</dcterms:created>
  <dcterms:modified xmlns:dcterms="http://purl.org/dc/terms/" xmlns:xsi="http://www.w3.org/2001/XMLSchema-instance" xsi:type="dcterms:W3CDTF">2026-07-09T08:21:03Z</dcterms:modified>
</cp:coreProperties>
</file>