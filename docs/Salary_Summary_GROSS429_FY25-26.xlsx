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6380" windowHeight="8196" tabRatio="500" firstSheet="0" activeTab="0" autoFilterDateGrouping="1"/>
  </bookViews>
  <sheets>
    <sheet xmlns:r="http://schemas.openxmlformats.org/officeDocument/2006/relationships" name="Basis Note" sheetId="1" state="visible" r:id="rId1"/>
    <sheet xmlns:r="http://schemas.openxmlformats.org/officeDocument/2006/relationships" name="Monthly Summary" sheetId="2" state="visible" r:id="rId2"/>
    <sheet xmlns:r="http://schemas.openxmlformats.org/officeDocument/2006/relationships" name="Tie-Out to Monthly Sheets" sheetId="3" state="visible" r:id="rId3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1">
    <numFmt numFmtId="164" formatCode="#,##0;\(#,##0\);\-"/>
  </numFmts>
  <fonts count="17">
    <font>
      <name val="Calibri"/>
      <charset val="1"/>
      <family val="2"/>
      <color theme="1"/>
      <sz val="11"/>
    </font>
    <font>
      <name val="Arial"/>
      <charset val="1"/>
      <b val="1"/>
      <color rgb="FFFFFFFF"/>
      <sz val="14"/>
    </font>
    <font>
      <name val="Arial"/>
      <charset val="1"/>
      <b val="1"/>
      <color rgb="FFFFFFFF"/>
      <sz val="10"/>
    </font>
    <font>
      <name val="Arial"/>
      <charset val="1"/>
      <i val="1"/>
      <color rgb="FF44546A"/>
      <sz val="8"/>
    </font>
    <font>
      <name val="Arial"/>
      <charset val="1"/>
      <b val="1"/>
      <color rgb="FFFFFFFF"/>
      <sz val="9"/>
    </font>
    <font>
      <name val="Arial"/>
      <charset val="1"/>
      <b val="1"/>
      <sz val="9"/>
    </font>
    <font>
      <name val="Arial"/>
      <charset val="1"/>
      <sz val="9"/>
    </font>
    <font>
      <name val="Arial"/>
      <charset val="1"/>
      <b val="1"/>
      <sz val="10"/>
    </font>
    <font>
      <name val="Arial"/>
      <charset val="1"/>
      <b val="1"/>
      <color rgb="FFFFFFFF"/>
      <sz val="12"/>
    </font>
    <font>
      <b val="1"/>
      <color rgb="FF1F3764"/>
      <sz val="14"/>
    </font>
    <font>
      <b val="1"/>
      <color rgb="FF1F3764"/>
      <sz val="12"/>
    </font>
    <font>
      <color rgb="FF000000"/>
      <sz val="10"/>
    </font>
    <font>
      <b val="1"/>
      <color rgb="FF9C0006"/>
      <sz val="11"/>
    </font>
    <font>
      <b val="1"/>
      <color rgb="FF000000"/>
      <sz val="11"/>
    </font>
    <font>
      <b val="1"/>
      <color rgb="FF000000"/>
      <sz val="10"/>
    </font>
    <font>
      <color rgb="FF404040"/>
      <sz val="9"/>
    </font>
    <font>
      <b val="1"/>
      <color rgb="FF9C0006"/>
      <sz val="9"/>
    </font>
  </fonts>
  <fills count="7">
    <fill>
      <patternFill/>
    </fill>
    <fill>
      <patternFill patternType="gray125"/>
    </fill>
    <fill>
      <patternFill patternType="solid">
        <fgColor rgb="FF1F4E78"/>
        <bgColor rgb="FF44546A"/>
      </patternFill>
    </fill>
    <fill>
      <patternFill patternType="solid">
        <fgColor rgb="FF2E75B6"/>
        <bgColor rgb="FF0066CC"/>
      </patternFill>
    </fill>
    <fill>
      <patternFill patternType="solid">
        <fgColor rgb="FFDDEBF7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0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pivotButton="0" quotePrefix="0" xfId="0"/>
    <xf numFmtId="3" fontId="6" fillId="0" borderId="1" pivotButton="0" quotePrefix="0" xfId="0"/>
    <xf numFmtId="164" fontId="6" fillId="0" borderId="1" pivotButton="0" quotePrefix="0" xfId="0"/>
    <xf numFmtId="164" fontId="6" fillId="4" borderId="1" pivotButton="0" quotePrefix="0" xfId="0"/>
    <xf numFmtId="0" fontId="7" fillId="5" borderId="1" pivotButton="0" quotePrefix="0" xfId="0"/>
    <xf numFmtId="3" fontId="7" fillId="5" borderId="1" pivotButton="0" quotePrefix="0" xfId="0"/>
    <xf numFmtId="164" fontId="7" fillId="5" borderId="1" pivotButton="0" quotePrefix="0" xfId="0"/>
    <xf numFmtId="0" fontId="5" fillId="0" borderId="1" pivotButton="0" quotePrefix="0" xfId="0"/>
    <xf numFmtId="164" fontId="6" fillId="0" borderId="1" pivotButton="0" quotePrefix="0" xfId="0"/>
    <xf numFmtId="164" fontId="6" fillId="6" borderId="1" pivotButton="0" quotePrefix="0" xfId="0"/>
    <xf numFmtId="0" fontId="7" fillId="5" borderId="1" pivotButton="0" quotePrefix="0" xfId="0"/>
    <xf numFmtId="164" fontId="7" fillId="5" borderId="1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95" customWidth="1" style="1" min="1" max="1"/>
  </cols>
  <sheetData>
    <row r="1">
      <c r="A1" s="19" t="inlineStr">
        <is>
          <t>IMPRESSIONS SERVICES PRIVATE LIMITED</t>
        </is>
      </c>
    </row>
    <row r="2">
      <c r="A2" s="20" t="inlineStr">
        <is>
          <t>Salary Summary FY 2025-26 - BASIS NOTE</t>
        </is>
      </c>
    </row>
    <row r="3">
      <c r="A3" s="21" t="n"/>
    </row>
    <row r="4">
      <c r="A4" s="22" t="inlineStr">
        <is>
          <t>Basis of this summary: PF / ESI COMPLIANT WAGE BASE (Revised Gross before the 380cr cut).</t>
        </is>
      </c>
    </row>
    <row r="5">
      <c r="A5" s="21" t="n"/>
    </row>
    <row r="6">
      <c r="A6" s="21" t="inlineStr">
        <is>
          <t>This summary states Gross at Rs 4,29,96,94,898 (Rs 429.97 cr) - the wage base used for</t>
        </is>
      </c>
    </row>
    <row r="7">
      <c r="A7" s="21" t="inlineStr">
        <is>
          <t>PF &amp; ESI compliance. It equals the actual gross paid plus statutory top-ups added during</t>
        </is>
      </c>
    </row>
    <row r="8">
      <c r="A8" s="21" t="inlineStr">
        <is>
          <t>PF/ESI reconciliation (to meet minimum wage, PF = 12% of Basic+DA, and the Rs 21,000 ESI ceiling).</t>
        </is>
      </c>
    </row>
    <row r="9">
      <c r="A9" s="21" t="n"/>
    </row>
    <row r="10">
      <c r="A10" s="23" t="inlineStr">
        <is>
          <t>Reconciliation of the gross figures:</t>
        </is>
      </c>
    </row>
    <row r="11">
      <c r="A11" s="21" t="inlineStr">
        <is>
          <t xml:space="preserve">   Actual gross paid (as keyed, col DP)        : Rs 4,06,93,68,046   (406.94 cr)</t>
        </is>
      </c>
    </row>
    <row r="12">
      <c r="A12" s="21" t="inlineStr">
        <is>
          <t xml:space="preserve">   Add: PF/ESI statutory top-ups               : Rs   23,03,26,852   ( 23.03 cr)</t>
        </is>
      </c>
    </row>
    <row r="13">
      <c r="A13" s="24" t="inlineStr">
        <is>
          <t xml:space="preserve">   = PF/ESI compliant wage base (THIS SUMMARY) : Rs 4,29,96,94,898   (429.97 cr)</t>
        </is>
      </c>
    </row>
    <row r="14">
      <c r="A14" s="21" t="n"/>
    </row>
    <row r="15">
      <c r="A15" s="24" t="inlineStr">
        <is>
          <t>Net Payable is unchanged across every basis    : Rs 2,93,29,71,946   (293.30 cr)</t>
        </is>
      </c>
    </row>
    <row r="16">
      <c r="A16" s="21" t="n"/>
    </row>
    <row r="17">
      <c r="A17" s="23" t="inlineStr">
        <is>
          <t>Use of this basis:</t>
        </is>
      </c>
    </row>
    <row r="18">
      <c r="A18" s="21" t="inlineStr">
        <is>
          <t xml:space="preserve">   - PF / ESI returns and statutory wage records -&gt; use this Rs 429.97 cr base.</t>
        </is>
      </c>
    </row>
    <row r="19">
      <c r="A19" s="21" t="inlineStr">
        <is>
          <t xml:space="preserve">   - Financial accounts (actual salary cost)     -&gt; use the actual paid Rs 406.94 cr,</t>
        </is>
      </c>
    </row>
    <row r="20">
      <c r="A20" s="21" t="inlineStr">
        <is>
          <t xml:space="preserve">     unless the top-ups were actually paid to employees (then 429.97 applies there too).</t>
        </is>
      </c>
    </row>
    <row r="21">
      <c r="A21" s="21" t="inlineStr">
        <is>
          <t xml:space="preserve">   Different bases for different purposes is acceptable when each is documented (this note).</t>
        </is>
      </c>
    </row>
    <row r="22">
      <c r="A22" s="21" t="n"/>
    </row>
    <row r="23">
      <c r="A23" s="25" t="inlineStr">
        <is>
          <t>Other Deduction (Residual) is re-plugged so Revised Total Deduction = Gross - Net Payable,</t>
        </is>
      </c>
    </row>
    <row r="24">
      <c r="A24" s="25" t="inlineStr">
        <is>
          <t>keeping Net Payable identical; the Check column ties to zero every month.</t>
        </is>
      </c>
    </row>
    <row r="25">
      <c r="A25" s="26" t="inlineStr">
        <is>
          <t>Please confirm the basis with the Chartered Accountant before filing.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7"/>
  <sheetViews>
    <sheetView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19" sqref="C19"/>
    </sheetView>
  </sheetViews>
  <sheetFormatPr baseColWidth="8" defaultColWidth="8.6640625" defaultRowHeight="14.4"/>
  <cols>
    <col width="12" customWidth="1" style="1" min="1" max="1"/>
    <col width="13" customWidth="1" style="1" min="2" max="2"/>
    <col width="16" customWidth="1" style="1" min="3" max="3"/>
    <col width="13" customWidth="1" style="1" min="4" max="25"/>
    <col width="16" customWidth="1" style="1" min="26" max="30"/>
  </cols>
  <sheetData>
    <row r="1" ht="17.25" customHeight="1" s="1">
      <c r="A1" s="15" t="inlineStr">
        <is>
          <t>IMPRESSIONS SERVICES PRIVATE LIMITED  -  SALARY SUMMARY (GROSS 429 / BEFORE CUT)</t>
        </is>
      </c>
    </row>
    <row r="2" ht="15" customHeight="1" s="1">
      <c r="A2" s="16" t="inlineStr">
        <is>
          <t>Revised Salary Deduction Summary - FY 2025-26  |  GROSS = REVISED GROSS *BEFORE* the 380cr cut (Rs 429.97 cr). Net Payable unchanged.</t>
        </is>
      </c>
    </row>
    <row r="3" ht="30" customHeight="1" s="1">
      <c r="A3" s="17" t="inlineStr">
        <is>
          <t>Other Deduction (Residual) re-plugged so Revised Total Deduction = Gross - Net Payable; Net Payable identical to the 380 basis.</t>
        </is>
      </c>
    </row>
    <row r="4" ht="42" customHeight="1" s="1">
      <c r="A4" s="2" t="inlineStr">
        <is>
          <t>Month</t>
        </is>
      </c>
      <c r="B4" s="2" t="inlineStr">
        <is>
          <t>Employee
Rows</t>
        </is>
      </c>
      <c r="C4" s="2" t="inlineStr">
        <is>
          <t>Revised Gross (Rs)</t>
        </is>
      </c>
      <c r="D4" s="2" t="inlineStr">
        <is>
          <t>PF</t>
        </is>
      </c>
      <c r="E4" s="2" t="inlineStr">
        <is>
          <t>ESI</t>
        </is>
      </c>
      <c r="F4" s="2" t="inlineStr">
        <is>
          <t>PT</t>
        </is>
      </c>
      <c r="G4" s="2" t="inlineStr">
        <is>
          <t>LWF</t>
        </is>
      </c>
      <c r="H4" s="2" t="inlineStr">
        <is>
          <t>TDS</t>
        </is>
      </c>
      <c r="I4" s="2" t="inlineStr">
        <is>
          <t>Employee Welfare Fund</t>
        </is>
      </c>
      <c r="J4" s="2" t="inlineStr">
        <is>
          <t>Advance</t>
        </is>
      </c>
      <c r="K4" s="2" t="inlineStr">
        <is>
          <t>Uniform</t>
        </is>
      </c>
      <c r="L4" s="2" t="inlineStr">
        <is>
          <t>Other Deduction (entered)</t>
        </is>
      </c>
      <c r="M4" s="2" t="inlineStr">
        <is>
          <t>Food Deduction</t>
        </is>
      </c>
      <c r="N4" s="2" t="inlineStr">
        <is>
          <t>Food Deductions</t>
        </is>
      </c>
      <c r="O4" s="2" t="inlineStr">
        <is>
          <t>Mobile Deduction</t>
        </is>
      </c>
      <c r="P4" s="2" t="inlineStr">
        <is>
          <t>Professional Fees</t>
        </is>
      </c>
      <c r="Q4" s="2" t="inlineStr">
        <is>
          <t>Insurance Deduction</t>
        </is>
      </c>
      <c r="R4" s="2" t="inlineStr">
        <is>
          <t>Insurance</t>
        </is>
      </c>
      <c r="S4" s="2" t="inlineStr">
        <is>
          <t>Fine</t>
        </is>
      </c>
      <c r="T4" s="2" t="inlineStr">
        <is>
          <t>Accomodation</t>
        </is>
      </c>
      <c r="U4" s="2" t="inlineStr">
        <is>
          <t>Flexi Ded</t>
        </is>
      </c>
      <c r="V4" s="2" t="inlineStr">
        <is>
          <t>Conveyance All Ded</t>
        </is>
      </c>
      <c r="W4" s="2" t="inlineStr">
        <is>
          <t>Laundry Charges</t>
        </is>
      </c>
      <c r="X4" s="2" t="inlineStr">
        <is>
          <t>Meal Deduction</t>
        </is>
      </c>
      <c r="Y4" s="2" t="inlineStr">
        <is>
          <t>Refyne Advance</t>
        </is>
      </c>
      <c r="Z4" s="2" t="inlineStr">
        <is>
          <t>Sum of Named
Deductions</t>
        </is>
      </c>
      <c r="AA4" s="2" t="inlineStr">
        <is>
          <t>Other Deduction
(Residual)</t>
        </is>
      </c>
      <c r="AB4" s="2" t="inlineStr">
        <is>
          <t>Revised Total
Deduction</t>
        </is>
      </c>
      <c r="AC4" s="2" t="inlineStr">
        <is>
          <t>Revised Net
Payable</t>
        </is>
      </c>
      <c r="AD4" s="2" t="inlineStr">
        <is>
          <t>Check
(Gross-TotDed-Net)</t>
        </is>
      </c>
    </row>
    <row r="5" ht="15" customHeight="1" s="1">
      <c r="A5" s="10" t="inlineStr">
        <is>
          <t>April</t>
        </is>
      </c>
      <c r="B5" s="4" t="n">
        <v>19161</v>
      </c>
      <c r="C5" s="11" t="n">
        <v>370001538</v>
      </c>
      <c r="D5" s="11" t="n">
        <v>22929430</v>
      </c>
      <c r="E5" s="11" t="n">
        <v>1447434</v>
      </c>
      <c r="F5" s="6" t="n">
        <v>631048</v>
      </c>
      <c r="G5" s="6" t="n">
        <v>105724</v>
      </c>
      <c r="H5" s="6" t="n">
        <v>78140</v>
      </c>
      <c r="I5" s="6" t="n">
        <v>143570</v>
      </c>
      <c r="J5" s="6" t="n">
        <v>2259506</v>
      </c>
      <c r="K5" s="6" t="n">
        <v>0</v>
      </c>
      <c r="L5" s="6" t="n">
        <v>2752461</v>
      </c>
      <c r="M5" s="6" t="n">
        <v>1475597</v>
      </c>
      <c r="N5" s="6" t="n">
        <v>568098</v>
      </c>
      <c r="O5" s="6" t="n">
        <v>0</v>
      </c>
      <c r="P5" s="6" t="n">
        <v>0</v>
      </c>
      <c r="Q5" s="6" t="n">
        <v>11540</v>
      </c>
      <c r="R5" s="6" t="n">
        <v>42503</v>
      </c>
      <c r="S5" s="6" t="n">
        <v>0</v>
      </c>
      <c r="T5" s="6" t="n">
        <v>0</v>
      </c>
      <c r="U5" s="6" t="n">
        <v>25219</v>
      </c>
      <c r="V5" s="6" t="n">
        <v>16500</v>
      </c>
      <c r="W5" s="6" t="n">
        <v>0</v>
      </c>
      <c r="X5" s="6" t="n">
        <v>0</v>
      </c>
      <c r="Y5" s="6" t="n">
        <v>0</v>
      </c>
      <c r="Z5" s="11">
        <f>SUM(D5:Y5)</f>
        <v/>
      </c>
      <c r="AA5" s="11" t="n">
        <v>107824882</v>
      </c>
      <c r="AB5" s="11">
        <f>Z5+AA5</f>
        <v/>
      </c>
      <c r="AC5" s="11" t="n">
        <v>229689886</v>
      </c>
      <c r="AD5" s="11">
        <f>C5-AB5-AC5</f>
        <v/>
      </c>
    </row>
    <row r="6" ht="15" customHeight="1" s="1">
      <c r="A6" s="10" t="inlineStr">
        <is>
          <t>May</t>
        </is>
      </c>
      <c r="B6" s="4" t="n">
        <v>19328</v>
      </c>
      <c r="C6" s="11" t="n">
        <v>369640302</v>
      </c>
      <c r="D6" s="11" t="n">
        <v>22952150</v>
      </c>
      <c r="E6" s="11" t="n">
        <v>1466780.53</v>
      </c>
      <c r="F6" s="6" t="n">
        <v>668331.5</v>
      </c>
      <c r="G6" s="6" t="n">
        <v>108019</v>
      </c>
      <c r="H6" s="6" t="n">
        <v>36500</v>
      </c>
      <c r="I6" s="6" t="n">
        <v>140980</v>
      </c>
      <c r="J6" s="6" t="n">
        <v>1634530</v>
      </c>
      <c r="K6" s="6" t="n">
        <v>0</v>
      </c>
      <c r="L6" s="6" t="n">
        <v>836132</v>
      </c>
      <c r="M6" s="6" t="n">
        <v>1571758</v>
      </c>
      <c r="N6" s="6" t="n">
        <v>574092</v>
      </c>
      <c r="O6" s="6" t="n">
        <v>0</v>
      </c>
      <c r="P6" s="6" t="n">
        <v>0</v>
      </c>
      <c r="Q6" s="6" t="n">
        <v>10283</v>
      </c>
      <c r="R6" s="6" t="n">
        <v>42384</v>
      </c>
      <c r="S6" s="6" t="n">
        <v>0</v>
      </c>
      <c r="T6" s="6" t="n">
        <v>0</v>
      </c>
      <c r="U6" s="6" t="n">
        <v>27469</v>
      </c>
      <c r="V6" s="6" t="n">
        <v>18871</v>
      </c>
      <c r="W6" s="6" t="n">
        <v>0</v>
      </c>
      <c r="X6" s="6" t="n">
        <v>0</v>
      </c>
      <c r="Y6" s="6" t="n">
        <v>0</v>
      </c>
      <c r="Z6" s="11">
        <f>SUM(D6:Y6)</f>
        <v/>
      </c>
      <c r="AA6" s="11" t="n">
        <v>107449787.97</v>
      </c>
      <c r="AB6" s="11">
        <f>Z6+AA6</f>
        <v/>
      </c>
      <c r="AC6" s="11" t="n">
        <v>232102234</v>
      </c>
      <c r="AD6" s="11">
        <f>C6-AB6-AC6</f>
        <v/>
      </c>
    </row>
    <row r="7" ht="15" customHeight="1" s="1">
      <c r="A7" s="10" t="inlineStr">
        <is>
          <t>June</t>
        </is>
      </c>
      <c r="B7" s="4" t="n">
        <v>18934</v>
      </c>
      <c r="C7" t="n">
        <v>347327360</v>
      </c>
      <c r="D7" s="11" t="n">
        <v>23303776</v>
      </c>
      <c r="E7" s="11" t="n">
        <v>1559041.84</v>
      </c>
      <c r="F7" s="6" t="n">
        <v>657648</v>
      </c>
      <c r="G7" s="6" t="n">
        <v>170475</v>
      </c>
      <c r="H7" s="6" t="n">
        <v>39300</v>
      </c>
      <c r="I7" s="6" t="n">
        <v>142650</v>
      </c>
      <c r="J7" s="6" t="n">
        <v>1681009</v>
      </c>
      <c r="K7" s="6" t="n">
        <v>0</v>
      </c>
      <c r="L7" s="6" t="n">
        <v>864425</v>
      </c>
      <c r="M7" s="6" t="n">
        <v>1635062</v>
      </c>
      <c r="N7" s="6" t="n">
        <v>575768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11">
        <f>SUM(D7:Y7)</f>
        <v/>
      </c>
      <c r="AA7" t="n">
        <v>83759512.16</v>
      </c>
      <c r="AB7" s="11">
        <f>Z7+AA7</f>
        <v/>
      </c>
      <c r="AC7" s="11" t="n">
        <v>232938693</v>
      </c>
      <c r="AD7" s="11">
        <f>C7-AB7-AC7</f>
        <v/>
      </c>
    </row>
    <row r="8" ht="15" customHeight="1" s="1">
      <c r="A8" s="10" t="inlineStr">
        <is>
          <t>July</t>
        </is>
      </c>
      <c r="B8" s="4" t="n">
        <v>19163</v>
      </c>
      <c r="C8" s="11" t="n">
        <v>339606585</v>
      </c>
      <c r="D8" s="11" t="n">
        <v>23967859</v>
      </c>
      <c r="E8" s="11" t="n">
        <v>1524156</v>
      </c>
      <c r="F8" s="6" t="n">
        <v>681437.5</v>
      </c>
      <c r="G8" s="6" t="n">
        <v>117332</v>
      </c>
      <c r="H8" s="6" t="n">
        <v>39300</v>
      </c>
      <c r="I8" s="6" t="n">
        <v>144280</v>
      </c>
      <c r="J8" s="6" t="n">
        <v>1616467</v>
      </c>
      <c r="K8" s="6" t="n">
        <v>0</v>
      </c>
      <c r="L8" s="6" t="n">
        <v>986205</v>
      </c>
      <c r="M8" s="6" t="n">
        <v>1667607</v>
      </c>
      <c r="N8" s="6" t="n">
        <v>578770</v>
      </c>
      <c r="O8" s="6" t="n">
        <v>0</v>
      </c>
      <c r="P8" s="6" t="n">
        <v>0</v>
      </c>
      <c r="Q8" s="6" t="n">
        <v>9864</v>
      </c>
      <c r="R8" s="6" t="n">
        <v>38367</v>
      </c>
      <c r="S8" s="6" t="n">
        <v>0</v>
      </c>
      <c r="T8" s="6" t="n">
        <v>0</v>
      </c>
      <c r="U8" s="6" t="n">
        <v>27024</v>
      </c>
      <c r="V8" s="6" t="n">
        <v>19500</v>
      </c>
      <c r="W8" s="6" t="n">
        <v>0</v>
      </c>
      <c r="X8" s="6" t="n">
        <v>0</v>
      </c>
      <c r="Y8" s="6" t="n">
        <v>0</v>
      </c>
      <c r="Z8" s="11">
        <f>SUM(D8:Y8)</f>
        <v/>
      </c>
      <c r="AA8" s="11" t="n">
        <v>67093486.5</v>
      </c>
      <c r="AB8" s="11">
        <f>Z8+AA8</f>
        <v/>
      </c>
      <c r="AC8" s="11" t="n">
        <v>241094930</v>
      </c>
      <c r="AD8" s="11">
        <f>C8-AB8-AC8</f>
        <v/>
      </c>
    </row>
    <row r="9" ht="15" customHeight="1" s="1">
      <c r="A9" s="10" t="inlineStr">
        <is>
          <t>August</t>
        </is>
      </c>
      <c r="B9" s="4" t="n">
        <v>19428</v>
      </c>
      <c r="C9" s="11" t="n">
        <v>337966181</v>
      </c>
      <c r="D9" s="11" t="n">
        <v>23836169</v>
      </c>
      <c r="E9" s="11" t="n">
        <v>1512508</v>
      </c>
      <c r="F9" s="6" t="n">
        <v>680314.5</v>
      </c>
      <c r="G9" s="6" t="n">
        <v>116862</v>
      </c>
      <c r="H9" s="6" t="n">
        <v>39300</v>
      </c>
      <c r="I9" s="6" t="n">
        <v>144510</v>
      </c>
      <c r="J9" s="6" t="n">
        <v>1414084</v>
      </c>
      <c r="K9" s="6" t="n">
        <v>0</v>
      </c>
      <c r="L9" s="6" t="n">
        <v>1357184</v>
      </c>
      <c r="M9" s="6" t="n">
        <v>1633068</v>
      </c>
      <c r="N9" s="6" t="n">
        <v>572469</v>
      </c>
      <c r="O9" s="6" t="n">
        <v>0</v>
      </c>
      <c r="P9" s="6" t="n">
        <v>0</v>
      </c>
      <c r="Q9" s="6" t="n">
        <v>11921</v>
      </c>
      <c r="R9" s="6" t="n">
        <v>38274</v>
      </c>
      <c r="S9" s="6" t="n">
        <v>0</v>
      </c>
      <c r="T9" s="6" t="n">
        <v>0</v>
      </c>
      <c r="U9" s="6" t="n">
        <v>26867</v>
      </c>
      <c r="V9" s="6" t="n">
        <v>20516</v>
      </c>
      <c r="W9" s="6" t="n">
        <v>0</v>
      </c>
      <c r="X9" s="6" t="n">
        <v>0</v>
      </c>
      <c r="Y9" s="6" t="n">
        <v>0</v>
      </c>
      <c r="Z9" s="11">
        <f>SUM(D9:Y9)</f>
        <v/>
      </c>
      <c r="AA9" s="11" t="n">
        <v>69392601.5</v>
      </c>
      <c r="AB9" s="11">
        <f>Z9+AA9</f>
        <v/>
      </c>
      <c r="AC9" s="11" t="n">
        <v>237169533</v>
      </c>
      <c r="AD9" s="11">
        <f>C9-AB9-AC9</f>
        <v/>
      </c>
    </row>
    <row r="10" ht="15" customHeight="1" s="1">
      <c r="A10" s="10" t="inlineStr">
        <is>
          <t>September</t>
        </is>
      </c>
      <c r="B10" s="4" t="n">
        <v>19206</v>
      </c>
      <c r="C10" s="11" t="n">
        <v>336886193</v>
      </c>
      <c r="D10" s="11" t="n">
        <v>24374027</v>
      </c>
      <c r="E10" s="11" t="n">
        <v>1541483</v>
      </c>
      <c r="F10" s="6" t="n">
        <v>691456</v>
      </c>
      <c r="G10" s="6" t="n">
        <v>119523</v>
      </c>
      <c r="H10" s="6" t="n">
        <v>39300</v>
      </c>
      <c r="I10" s="6" t="n">
        <v>144880</v>
      </c>
      <c r="J10" s="6" t="n">
        <v>3227413</v>
      </c>
      <c r="K10" s="6" t="n">
        <v>15464</v>
      </c>
      <c r="L10" s="6" t="n">
        <v>1223765</v>
      </c>
      <c r="M10" s="6" t="n">
        <v>1572157</v>
      </c>
      <c r="N10" s="6" t="n">
        <v>580603</v>
      </c>
      <c r="O10" s="6" t="n">
        <v>0</v>
      </c>
      <c r="P10" s="6" t="n">
        <v>0</v>
      </c>
      <c r="Q10" s="6" t="n">
        <v>10556</v>
      </c>
      <c r="R10" s="6" t="n">
        <v>38314</v>
      </c>
      <c r="S10" s="6" t="n">
        <v>0</v>
      </c>
      <c r="T10" s="6" t="n">
        <v>0</v>
      </c>
      <c r="U10" s="6" t="n">
        <v>27445</v>
      </c>
      <c r="V10" s="6" t="n">
        <v>22350</v>
      </c>
      <c r="W10" s="6" t="n">
        <v>0</v>
      </c>
      <c r="X10" s="6" t="n">
        <v>0</v>
      </c>
      <c r="Y10" s="6" t="n">
        <v>0</v>
      </c>
      <c r="Z10" s="11">
        <f>SUM(D10:Y10)</f>
        <v/>
      </c>
      <c r="AA10" s="11" t="n">
        <v>62767480</v>
      </c>
      <c r="AB10" s="11">
        <f>Z10+AA10</f>
        <v/>
      </c>
      <c r="AC10" s="11" t="n">
        <v>240489977</v>
      </c>
      <c r="AD10" s="11">
        <f>C10-AB10-AC10</f>
        <v/>
      </c>
    </row>
    <row r="11" ht="15" customHeight="1" s="1">
      <c r="A11" s="10" t="inlineStr">
        <is>
          <t>October</t>
        </is>
      </c>
      <c r="B11" s="4" t="n">
        <v>19785</v>
      </c>
      <c r="C11" s="11" t="n">
        <v>352616806</v>
      </c>
      <c r="D11" s="11" t="n">
        <v>24247074</v>
      </c>
      <c r="E11" s="11" t="n">
        <v>1535526</v>
      </c>
      <c r="F11" s="6" t="n">
        <v>702917</v>
      </c>
      <c r="G11" s="6" t="n">
        <v>116280</v>
      </c>
      <c r="H11" s="6" t="n">
        <v>30300</v>
      </c>
      <c r="I11" s="6" t="n">
        <v>141590</v>
      </c>
      <c r="J11" s="6" t="n">
        <v>2201181</v>
      </c>
      <c r="K11" s="6" t="n">
        <v>6000</v>
      </c>
      <c r="L11" s="6" t="n">
        <v>1062852</v>
      </c>
      <c r="M11" s="6" t="n">
        <v>1554680</v>
      </c>
      <c r="N11" s="6" t="n">
        <v>573772</v>
      </c>
      <c r="O11" s="6" t="n">
        <v>0</v>
      </c>
      <c r="P11" s="6" t="n">
        <v>0</v>
      </c>
      <c r="Q11" s="6" t="n">
        <v>9758</v>
      </c>
      <c r="R11" s="6" t="n">
        <v>40975</v>
      </c>
      <c r="S11" s="6" t="n">
        <v>0</v>
      </c>
      <c r="T11" s="6" t="n">
        <v>0</v>
      </c>
      <c r="U11" s="6" t="n">
        <v>27686</v>
      </c>
      <c r="V11" s="6" t="n">
        <v>22742</v>
      </c>
      <c r="W11" s="6" t="n">
        <v>0</v>
      </c>
      <c r="X11" s="6" t="n">
        <v>0</v>
      </c>
      <c r="Y11" s="6" t="n">
        <v>0</v>
      </c>
      <c r="Z11" s="11">
        <f>SUM(D11:Y11)</f>
        <v/>
      </c>
      <c r="AA11" s="11" t="n">
        <v>78077605</v>
      </c>
      <c r="AB11" s="11">
        <f>Z11+AA11</f>
        <v/>
      </c>
      <c r="AC11" s="11" t="n">
        <v>242265868</v>
      </c>
      <c r="AD11" s="11">
        <f>C11-AB11-AC11</f>
        <v/>
      </c>
    </row>
    <row r="12" ht="15" customHeight="1" s="1">
      <c r="A12" s="10" t="inlineStr">
        <is>
          <t>November</t>
        </is>
      </c>
      <c r="B12" s="4" t="n">
        <v>19297</v>
      </c>
      <c r="C12" s="11" t="n">
        <v>334292149</v>
      </c>
      <c r="D12" s="11" t="n">
        <v>23814678</v>
      </c>
      <c r="E12" s="11" t="n">
        <v>1508320</v>
      </c>
      <c r="F12" s="6" t="n">
        <v>687847</v>
      </c>
      <c r="G12" s="6" t="n">
        <v>113477</v>
      </c>
      <c r="H12" s="6" t="n">
        <v>30300</v>
      </c>
      <c r="I12" s="6" t="n">
        <v>140940</v>
      </c>
      <c r="J12" s="6" t="n">
        <v>1453179</v>
      </c>
      <c r="K12" s="6" t="n">
        <v>500</v>
      </c>
      <c r="L12" s="6" t="n">
        <v>670695</v>
      </c>
      <c r="M12" s="6" t="n">
        <v>1568629</v>
      </c>
      <c r="N12" s="6" t="n">
        <v>587026</v>
      </c>
      <c r="O12" s="6" t="n">
        <v>0</v>
      </c>
      <c r="P12" s="6" t="n">
        <v>0</v>
      </c>
      <c r="Q12" s="6" t="n">
        <v>12498</v>
      </c>
      <c r="R12" s="6" t="n">
        <v>45887</v>
      </c>
      <c r="S12" s="6" t="n">
        <v>0</v>
      </c>
      <c r="T12" s="6" t="n">
        <v>0</v>
      </c>
      <c r="U12" s="6" t="n">
        <v>25524</v>
      </c>
      <c r="V12" s="6" t="n">
        <v>24000</v>
      </c>
      <c r="W12" s="6" t="n">
        <v>0</v>
      </c>
      <c r="X12" s="6" t="n">
        <v>0</v>
      </c>
      <c r="Y12" s="6" t="n">
        <v>0</v>
      </c>
      <c r="Z12" s="11">
        <f>SUM(D12:Y12)</f>
        <v/>
      </c>
      <c r="AA12" s="11" t="n">
        <v>63918471</v>
      </c>
      <c r="AB12" s="11">
        <f>Z12+AA12</f>
        <v/>
      </c>
      <c r="AC12" s="11" t="n">
        <v>239690178</v>
      </c>
      <c r="AD12" s="11">
        <f>C12-AB12-AC12</f>
        <v/>
      </c>
    </row>
    <row r="13" ht="15" customHeight="1" s="1">
      <c r="A13" s="10" t="inlineStr">
        <is>
          <t>December</t>
        </is>
      </c>
      <c r="B13" s="4" t="n">
        <v>19800</v>
      </c>
      <c r="C13" s="11" t="n">
        <v>351071810</v>
      </c>
      <c r="D13" s="11" t="n">
        <v>25096023</v>
      </c>
      <c r="E13" s="11" t="n">
        <v>1577647</v>
      </c>
      <c r="F13" s="6" t="n">
        <v>723248</v>
      </c>
      <c r="G13" s="6" t="n">
        <v>212900.25</v>
      </c>
      <c r="H13" s="6" t="n">
        <v>37300</v>
      </c>
      <c r="I13" s="6" t="n">
        <v>143710</v>
      </c>
      <c r="J13" s="6" t="n">
        <v>1391392</v>
      </c>
      <c r="K13" s="6" t="n">
        <v>3400</v>
      </c>
      <c r="L13" s="6" t="n">
        <v>805137</v>
      </c>
      <c r="M13" s="6" t="n">
        <v>1554401</v>
      </c>
      <c r="N13" s="6" t="n">
        <v>567874</v>
      </c>
      <c r="O13" s="6" t="n">
        <v>0</v>
      </c>
      <c r="P13" s="6" t="n">
        <v>0</v>
      </c>
      <c r="Q13" s="6" t="n">
        <v>13643</v>
      </c>
      <c r="R13" s="6" t="n">
        <v>45668</v>
      </c>
      <c r="S13" s="6" t="n">
        <v>0</v>
      </c>
      <c r="T13" s="6" t="n">
        <v>0</v>
      </c>
      <c r="U13" s="6" t="n">
        <v>26321</v>
      </c>
      <c r="V13" s="6" t="n">
        <v>22452</v>
      </c>
      <c r="W13" s="6" t="n">
        <v>0</v>
      </c>
      <c r="X13" s="6" t="n">
        <v>0</v>
      </c>
      <c r="Y13" s="6" t="n">
        <v>0</v>
      </c>
      <c r="Z13" s="11">
        <f>SUM(D13:Y13)</f>
        <v/>
      </c>
      <c r="AA13" s="11" t="n">
        <v>61946908.75</v>
      </c>
      <c r="AB13" s="11">
        <f>Z13+AA13</f>
        <v/>
      </c>
      <c r="AC13" s="11" t="n">
        <v>256903785</v>
      </c>
      <c r="AD13" s="11">
        <f>C13-AB13-AC13</f>
        <v/>
      </c>
    </row>
    <row r="14" ht="15" customHeight="1" s="1">
      <c r="A14" s="10" t="inlineStr">
        <is>
          <t>January</t>
        </is>
      </c>
      <c r="B14" s="4" t="n">
        <v>20364</v>
      </c>
      <c r="C14" s="11" t="n">
        <v>381250686</v>
      </c>
      <c r="D14" s="11" t="n">
        <v>25587803</v>
      </c>
      <c r="E14" s="11" t="n">
        <v>1615242</v>
      </c>
      <c r="F14" s="6" t="n">
        <v>715246</v>
      </c>
      <c r="G14" s="6" t="n">
        <v>120160</v>
      </c>
      <c r="H14" s="6" t="n">
        <v>55600</v>
      </c>
      <c r="I14" s="6" t="n">
        <v>144240</v>
      </c>
      <c r="J14" s="6" t="n">
        <v>1309237</v>
      </c>
      <c r="K14" s="6" t="n">
        <v>12400</v>
      </c>
      <c r="L14" s="6" t="n">
        <v>770947</v>
      </c>
      <c r="M14" s="6" t="n">
        <v>1572568</v>
      </c>
      <c r="N14" s="6" t="n">
        <v>509680</v>
      </c>
      <c r="O14" s="6" t="n">
        <v>0</v>
      </c>
      <c r="P14" s="6" t="n">
        <v>0</v>
      </c>
      <c r="Q14" s="6" t="n">
        <v>12364</v>
      </c>
      <c r="R14" s="6" t="n">
        <v>45181</v>
      </c>
      <c r="S14" s="6" t="n">
        <v>0</v>
      </c>
      <c r="T14" s="6" t="n">
        <v>0</v>
      </c>
      <c r="U14" s="6" t="n">
        <v>26961</v>
      </c>
      <c r="V14" s="6" t="n">
        <v>24532</v>
      </c>
      <c r="W14" s="6" t="n">
        <v>0</v>
      </c>
      <c r="X14" s="6" t="n">
        <v>0</v>
      </c>
      <c r="Y14" s="6" t="n">
        <v>0</v>
      </c>
      <c r="Z14" s="11">
        <f>SUM(D14:Y14)</f>
        <v/>
      </c>
      <c r="AA14" s="11" t="n">
        <v>89239609</v>
      </c>
      <c r="AB14" s="11">
        <f>Z14+AA14</f>
        <v/>
      </c>
      <c r="AC14" s="11" t="n">
        <v>259488916</v>
      </c>
      <c r="AD14" s="11">
        <f>C14-AB14-AC14</f>
        <v/>
      </c>
    </row>
    <row r="15" ht="15" customHeight="1" s="1">
      <c r="A15" s="10" t="inlineStr">
        <is>
          <t>February</t>
        </is>
      </c>
      <c r="B15" s="4" t="n">
        <v>19862</v>
      </c>
      <c r="C15" s="11" t="n">
        <v>384213036</v>
      </c>
      <c r="D15" s="11" t="n">
        <v>25462898</v>
      </c>
      <c r="E15" s="11" t="n">
        <v>1576815</v>
      </c>
      <c r="F15" s="6" t="n">
        <v>865325</v>
      </c>
      <c r="G15" s="6" t="n">
        <v>121626</v>
      </c>
      <c r="H15" s="6" t="n">
        <v>61100</v>
      </c>
      <c r="I15" s="6" t="n">
        <v>145020</v>
      </c>
      <c r="J15" s="6" t="n">
        <v>2384173</v>
      </c>
      <c r="K15" s="6" t="n">
        <v>2000</v>
      </c>
      <c r="L15" s="6" t="n">
        <v>731733</v>
      </c>
      <c r="M15" s="6" t="n">
        <v>1594900</v>
      </c>
      <c r="N15" s="6" t="n">
        <v>508437</v>
      </c>
      <c r="O15" s="6" t="n">
        <v>0</v>
      </c>
      <c r="P15" s="6" t="n">
        <v>0</v>
      </c>
      <c r="Q15" s="6" t="n">
        <v>23571</v>
      </c>
      <c r="R15" s="6" t="n">
        <v>48874</v>
      </c>
      <c r="S15" s="6" t="n">
        <v>0</v>
      </c>
      <c r="T15" s="6" t="n">
        <v>0</v>
      </c>
      <c r="U15" s="6" t="n">
        <v>25250</v>
      </c>
      <c r="V15" s="6" t="n">
        <v>25821</v>
      </c>
      <c r="W15" s="6" t="n">
        <v>0</v>
      </c>
      <c r="X15" s="6" t="n">
        <v>0</v>
      </c>
      <c r="Y15" s="6" t="n">
        <v>0</v>
      </c>
      <c r="Z15" s="11">
        <f>SUM(D15:Y15)</f>
        <v/>
      </c>
      <c r="AA15" s="11" t="n">
        <v>93027803</v>
      </c>
      <c r="AB15" s="11">
        <f>Z15+AA15</f>
        <v/>
      </c>
      <c r="AC15" s="11" t="n">
        <v>257607690</v>
      </c>
      <c r="AD15" s="11">
        <f>C15-AB15-AC15</f>
        <v/>
      </c>
    </row>
    <row r="16" ht="15" customHeight="1" s="1">
      <c r="A16" s="10" t="inlineStr">
        <is>
          <t>March</t>
        </is>
      </c>
      <c r="B16" s="4" t="n">
        <v>20749</v>
      </c>
      <c r="C16" s="11" t="n">
        <v>394822252</v>
      </c>
      <c r="D16" s="11" t="n">
        <v>25757367</v>
      </c>
      <c r="E16" s="11" t="n">
        <v>1631352</v>
      </c>
      <c r="F16" s="6" t="n">
        <v>728379</v>
      </c>
      <c r="G16" s="6" t="n">
        <v>119453</v>
      </c>
      <c r="H16" s="6" t="n">
        <v>68500</v>
      </c>
      <c r="I16" s="6" t="n">
        <v>150510</v>
      </c>
      <c r="J16" s="6" t="n">
        <v>1607024</v>
      </c>
      <c r="K16" s="6" t="n">
        <v>15200</v>
      </c>
      <c r="L16" s="6" t="n">
        <v>850185</v>
      </c>
      <c r="M16" s="6" t="n">
        <v>1592349</v>
      </c>
      <c r="N16" s="6" t="n">
        <v>500355</v>
      </c>
      <c r="O16" s="6" t="n">
        <v>0</v>
      </c>
      <c r="P16" s="6" t="n">
        <v>0</v>
      </c>
      <c r="Q16" s="6" t="n">
        <v>17369</v>
      </c>
      <c r="R16" s="6" t="n">
        <v>44694</v>
      </c>
      <c r="S16" s="6" t="n">
        <v>0</v>
      </c>
      <c r="T16" s="6" t="n">
        <v>0</v>
      </c>
      <c r="U16" s="6" t="n">
        <v>24006</v>
      </c>
      <c r="V16" s="6" t="n">
        <v>27000</v>
      </c>
      <c r="W16" s="6" t="n">
        <v>0</v>
      </c>
      <c r="X16" s="6" t="n">
        <v>0</v>
      </c>
      <c r="Y16" s="6" t="n">
        <v>0</v>
      </c>
      <c r="Z16" s="11">
        <f>SUM(D16:Y16)</f>
        <v/>
      </c>
      <c r="AA16" s="11" t="n">
        <v>98158253</v>
      </c>
      <c r="AB16" s="11">
        <f>Z16+AA16</f>
        <v/>
      </c>
      <c r="AC16" s="11" t="n">
        <v>263530256</v>
      </c>
      <c r="AD16" s="11">
        <f>C16-AB16-AC16</f>
        <v/>
      </c>
    </row>
    <row r="17" ht="15" customHeight="1" s="1">
      <c r="A17" s="13" t="inlineStr">
        <is>
          <t>GRAND TOTAL</t>
        </is>
      </c>
      <c r="B17" s="8">
        <f>SUM(B5:B16)</f>
        <v/>
      </c>
      <c r="C17" s="14">
        <f>SUM(C5:C16)</f>
        <v/>
      </c>
      <c r="D17" s="14">
        <f>SUM(D5:D16)</f>
        <v/>
      </c>
      <c r="E17" s="14">
        <f>SUM(E5:E16)</f>
        <v/>
      </c>
      <c r="F17" s="14">
        <f>SUM(F5:F16)</f>
        <v/>
      </c>
      <c r="G17" s="14">
        <f>SUM(G5:G16)</f>
        <v/>
      </c>
      <c r="H17" s="14">
        <f>SUM(H5:H16)</f>
        <v/>
      </c>
      <c r="I17" s="14">
        <f>SUM(I5:I16)</f>
        <v/>
      </c>
      <c r="J17" s="14">
        <f>SUM(J5:J16)</f>
        <v/>
      </c>
      <c r="K17" s="14">
        <f>SUM(K5:K16)</f>
        <v/>
      </c>
      <c r="L17" s="14">
        <f>SUM(L5:L16)</f>
        <v/>
      </c>
      <c r="M17" s="14">
        <f>SUM(M5:M16)</f>
        <v/>
      </c>
      <c r="N17" s="14">
        <f>SUM(N5:N16)</f>
        <v/>
      </c>
      <c r="O17" s="14">
        <f>SUM(O5:O16)</f>
        <v/>
      </c>
      <c r="P17" s="14">
        <f>SUM(P5:P16)</f>
        <v/>
      </c>
      <c r="Q17" s="14">
        <f>SUM(Q5:Q16)</f>
        <v/>
      </c>
      <c r="R17" s="14">
        <f>SUM(R5:R16)</f>
        <v/>
      </c>
      <c r="S17" s="14">
        <f>SUM(S5:S16)</f>
        <v/>
      </c>
      <c r="T17" s="14">
        <f>SUM(T5:T16)</f>
        <v/>
      </c>
      <c r="U17" s="14">
        <f>SUM(U5:U16)</f>
        <v/>
      </c>
      <c r="V17" s="14">
        <f>SUM(V5:V16)</f>
        <v/>
      </c>
      <c r="W17" s="14">
        <f>SUM(W5:W16)</f>
        <v/>
      </c>
      <c r="X17" s="14">
        <f>SUM(X5:X16)</f>
        <v/>
      </c>
      <c r="Y17" s="14">
        <f>SUM(Y5:Y16)</f>
        <v/>
      </c>
      <c r="Z17" s="14">
        <f>SUM(D17:Y17)</f>
        <v/>
      </c>
      <c r="AA17" s="14">
        <f>SUM(AA5:AA16)</f>
        <v/>
      </c>
      <c r="AB17" s="14">
        <f>Z17+AA17</f>
        <v/>
      </c>
      <c r="AC17" s="14">
        <f>SUM(AC5:AC16)</f>
        <v/>
      </c>
      <c r="AD17" s="14">
        <f>C17-AB17-AC17</f>
        <v/>
      </c>
    </row>
  </sheetData>
  <mergeCells count="3">
    <mergeCell ref="A3:AD3"/>
    <mergeCell ref="A2:AD2"/>
    <mergeCell ref="A1:AD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E16" sqref="E16"/>
    </sheetView>
  </sheetViews>
  <sheetFormatPr baseColWidth="8" defaultColWidth="8.6640625" defaultRowHeight="14.4"/>
  <cols>
    <col width="12" customWidth="1" style="1" min="1" max="1"/>
    <col width="17" customWidth="1" style="1" min="2" max="8"/>
  </cols>
  <sheetData>
    <row r="1" ht="15.6" customHeight="1" s="1">
      <c r="A1" s="18" t="inlineStr">
        <is>
          <t>TIE-OUT: Summary vs Source Monthly Salary Sheets — FY 2025-26</t>
        </is>
      </c>
    </row>
    <row r="2" ht="57.75" customHeight="1" s="1">
      <c r="A2" s="17" t="inlineStr">
        <is>
          <t>Three gross figures: (1) GROSS AMT col DP as keyed in the monthly sheets; (2) Revised Gross BEFORE cut = DP plus the attendance-allowance top-ups added during PF/ESI reconciliation (min-wage / 12%-PF / 21k ESI ceiling) — this is the ~Rs 429.97 cr working gross; (3) Revised Gross AFTER cut = Rs 380 cr. NET PAYABLE is sacrosanct and ties to ZERO every month on an employee basis. 3 stray raw lines carry net but no employee code (July 2 = Rs 15,548; Sept 1 = Rs 2,000) and are excluded. Figures in Rupees.</t>
        </is>
      </c>
    </row>
    <row r="3" ht="51.75" customHeight="1" s="1">
      <c r="A3" s="2" t="inlineStr">
        <is>
          <t>Month</t>
        </is>
      </c>
      <c r="B3" s="2" t="inlineStr">
        <is>
          <t>GROSS AMT
(col DP, sheet)</t>
        </is>
      </c>
      <c r="C3" s="2" t="inlineStr">
        <is>
          <t>Revised Gross
BEFORE cut
(reconciled)</t>
        </is>
      </c>
      <c r="D3" s="2" t="inlineStr">
        <is>
          <t>Revised Gross
AFTER cut
(380 cr)</t>
        </is>
      </c>
      <c r="E3" s="2" t="inlineStr">
        <is>
          <t>Gross Reduction
(Before - After)</t>
        </is>
      </c>
      <c r="F3" s="2" t="inlineStr">
        <is>
          <t>Raw Net - Employees
(monthly sheet)</t>
        </is>
      </c>
      <c r="G3" s="2" t="inlineStr">
        <is>
          <t>Revised Net
(reconciled)</t>
        </is>
      </c>
      <c r="H3" s="2" t="inlineStr">
        <is>
          <t>Net Tie
(Rev - Raw emp)</t>
        </is>
      </c>
    </row>
    <row r="4">
      <c r="A4" s="10" t="inlineStr">
        <is>
          <t>April</t>
        </is>
      </c>
      <c r="B4" s="11" t="n">
        <v>353468810</v>
      </c>
      <c r="C4" s="11" t="n">
        <v>370001537.6</v>
      </c>
      <c r="D4" s="11" t="n">
        <v>316867143.83</v>
      </c>
      <c r="E4" s="11">
        <f>C4-D4</f>
        <v/>
      </c>
      <c r="F4" s="11" t="n">
        <v>229689886</v>
      </c>
      <c r="G4" s="11" t="n">
        <v>229689886</v>
      </c>
      <c r="H4" s="12">
        <f>G4-F4</f>
        <v/>
      </c>
    </row>
    <row r="5">
      <c r="A5" s="10" t="inlineStr">
        <is>
          <t>May</t>
        </is>
      </c>
      <c r="B5" s="11" t="n">
        <v>349035850</v>
      </c>
      <c r="C5" s="11" t="n">
        <v>369640302.35</v>
      </c>
      <c r="D5" s="11" t="n">
        <v>310647660.5</v>
      </c>
      <c r="E5" s="11">
        <f>C5-D5</f>
        <v/>
      </c>
      <c r="F5" s="11" t="n">
        <v>232102234</v>
      </c>
      <c r="G5" s="11" t="n">
        <v>232102234</v>
      </c>
      <c r="H5" s="12">
        <f>G5-F5</f>
        <v/>
      </c>
    </row>
    <row r="6">
      <c r="A6" s="10" t="inlineStr">
        <is>
          <t>June</t>
        </is>
      </c>
      <c r="B6" s="11" t="n">
        <v>318734469</v>
      </c>
      <c r="C6" s="11" t="n">
        <v>347327360.02</v>
      </c>
      <c r="D6" s="11" t="n">
        <v>298950541.25</v>
      </c>
      <c r="E6" s="11">
        <f>C6-D6</f>
        <v/>
      </c>
      <c r="F6" s="11" t="n">
        <v>232938693</v>
      </c>
      <c r="G6" s="11" t="n">
        <v>232938693</v>
      </c>
      <c r="H6" s="12">
        <f>G6-F6</f>
        <v/>
      </c>
    </row>
    <row r="7">
      <c r="A7" s="10" t="inlineStr">
        <is>
          <t>July</t>
        </is>
      </c>
      <c r="B7" s="11" t="n">
        <v>324186466</v>
      </c>
      <c r="C7" s="11" t="n">
        <v>339606585.33</v>
      </c>
      <c r="D7" s="11" t="n">
        <v>306826844.11</v>
      </c>
      <c r="E7" s="11">
        <f>C7-D7</f>
        <v/>
      </c>
      <c r="F7" s="11" t="n">
        <v>241094930</v>
      </c>
      <c r="G7" s="11" t="n">
        <v>241094930</v>
      </c>
      <c r="H7" s="12">
        <f>G7-F7</f>
        <v/>
      </c>
    </row>
    <row r="8">
      <c r="A8" s="10" t="inlineStr">
        <is>
          <t>August</t>
        </is>
      </c>
      <c r="B8" s="11" t="n">
        <v>315903331</v>
      </c>
      <c r="C8" s="11" t="n">
        <v>337966181</v>
      </c>
      <c r="D8" s="11" t="n">
        <v>304681042.45</v>
      </c>
      <c r="E8" s="11">
        <f>C8-D8</f>
        <v/>
      </c>
      <c r="F8" s="11" t="n">
        <v>237169533</v>
      </c>
      <c r="G8" s="11" t="n">
        <v>237169533</v>
      </c>
      <c r="H8" s="12">
        <f>G8-F8</f>
        <v/>
      </c>
    </row>
    <row r="9">
      <c r="A9" s="10" t="inlineStr">
        <is>
          <t>September</t>
        </is>
      </c>
      <c r="B9" s="11" t="n">
        <v>321403130</v>
      </c>
      <c r="C9" s="11" t="n">
        <v>336886193</v>
      </c>
      <c r="D9" s="11" t="n">
        <v>306057501.87</v>
      </c>
      <c r="E9" s="11">
        <f>C9-D9</f>
        <v/>
      </c>
      <c r="F9" s="11" t="n">
        <v>240489977</v>
      </c>
      <c r="G9" s="11" t="n">
        <v>240489977</v>
      </c>
      <c r="H9" s="12">
        <f>G9-F9</f>
        <v/>
      </c>
    </row>
    <row r="10">
      <c r="A10" s="10" t="inlineStr">
        <is>
          <t>October</t>
        </is>
      </c>
      <c r="B10" s="11" t="n">
        <v>323296962</v>
      </c>
      <c r="C10" s="11" t="n">
        <v>352616806</v>
      </c>
      <c r="D10" s="11" t="n">
        <v>317815695.91</v>
      </c>
      <c r="E10" s="11">
        <f>C10-D10</f>
        <v/>
      </c>
      <c r="F10" s="11" t="n">
        <v>242265868</v>
      </c>
      <c r="G10" s="11" t="n">
        <v>242265868</v>
      </c>
      <c r="H10" s="12">
        <f>G10-F10</f>
        <v/>
      </c>
    </row>
    <row r="11">
      <c r="A11" s="10" t="inlineStr">
        <is>
          <t>November</t>
        </is>
      </c>
      <c r="B11" s="11" t="n">
        <v>314254587</v>
      </c>
      <c r="C11" s="11" t="n">
        <v>334292149.22</v>
      </c>
      <c r="D11" s="11" t="n">
        <v>310340996.69</v>
      </c>
      <c r="E11" s="11">
        <f>C11-D11</f>
        <v/>
      </c>
      <c r="F11" s="11" t="n">
        <v>239690178</v>
      </c>
      <c r="G11" s="11" t="n">
        <v>239690178</v>
      </c>
      <c r="H11" s="12">
        <f>G11-F11</f>
        <v/>
      </c>
    </row>
    <row r="12">
      <c r="A12" s="10" t="inlineStr">
        <is>
          <t>December</t>
        </is>
      </c>
      <c r="B12" s="11" t="n">
        <v>333147717</v>
      </c>
      <c r="C12" s="11" t="n">
        <v>351071809.79</v>
      </c>
      <c r="D12" s="11" t="n">
        <v>326109994.85</v>
      </c>
      <c r="E12" s="11">
        <f>C12-D12</f>
        <v/>
      </c>
      <c r="F12" s="11" t="n">
        <v>256903785</v>
      </c>
      <c r="G12" s="11" t="n">
        <v>256903785</v>
      </c>
      <c r="H12" s="12">
        <f>G12-F12</f>
        <v/>
      </c>
    </row>
    <row r="13">
      <c r="A13" s="10" t="inlineStr">
        <is>
          <t>January</t>
        </is>
      </c>
      <c r="B13" s="11" t="n">
        <v>365733353</v>
      </c>
      <c r="C13" s="11" t="n">
        <v>381250686</v>
      </c>
      <c r="D13" s="11" t="n">
        <v>328287458.36</v>
      </c>
      <c r="E13" s="11">
        <f>C13-D13</f>
        <v/>
      </c>
      <c r="F13" s="11" t="n">
        <v>259488916</v>
      </c>
      <c r="G13" s="11" t="n">
        <v>259488916</v>
      </c>
      <c r="H13" s="12">
        <f>G13-F13</f>
        <v/>
      </c>
    </row>
    <row r="14">
      <c r="A14" s="10" t="inlineStr">
        <is>
          <t>February</t>
        </is>
      </c>
      <c r="B14" s="11" t="n">
        <v>372555573</v>
      </c>
      <c r="C14" s="11" t="n">
        <v>384213036</v>
      </c>
      <c r="D14" s="11" t="n">
        <v>334109163.4</v>
      </c>
      <c r="E14" s="11">
        <f>C14-D14</f>
        <v/>
      </c>
      <c r="F14" s="11" t="n">
        <v>257607690</v>
      </c>
      <c r="G14" s="11" t="n">
        <v>257607690</v>
      </c>
      <c r="H14" s="12">
        <f>G14-F14</f>
        <v/>
      </c>
    </row>
    <row r="15">
      <c r="A15" s="10" t="inlineStr">
        <is>
          <t>March</t>
        </is>
      </c>
      <c r="B15" s="11" t="n">
        <v>377647798</v>
      </c>
      <c r="C15" s="11" t="n">
        <v>394822252</v>
      </c>
      <c r="D15" s="11" t="n">
        <v>339305975.92</v>
      </c>
      <c r="E15" s="11">
        <f>C15-D15</f>
        <v/>
      </c>
      <c r="F15" s="11" t="n">
        <v>263530256</v>
      </c>
      <c r="G15" s="11" t="n">
        <v>263530256</v>
      </c>
      <c r="H15" s="12">
        <f>G15-F15</f>
        <v/>
      </c>
    </row>
    <row r="16">
      <c r="A16" s="13" t="inlineStr">
        <is>
          <t>GRAND TOTAL</t>
        </is>
      </c>
      <c r="B16" s="14">
        <f>SUM(B4:B15)</f>
        <v/>
      </c>
      <c r="C16" s="14">
        <f>SUM(C4:C15)</f>
        <v/>
      </c>
      <c r="D16" s="14">
        <f>SUM(D4:D15)</f>
        <v/>
      </c>
      <c r="E16" s="14">
        <f>C16-D16</f>
        <v/>
      </c>
      <c r="F16" s="14">
        <f>SUM(F4:F15)</f>
        <v/>
      </c>
      <c r="G16" s="14">
        <f>SUM(G4:G15)</f>
        <v/>
      </c>
      <c r="H16" s="14">
        <f>G16-F16</f>
        <v/>
      </c>
    </row>
  </sheetData>
  <mergeCells count="2">
    <mergeCell ref="A2:H2"/>
    <mergeCell ref="A1:H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2026-06-22T11:20:37Z</dcterms:created>
  <dcterms:modified xmlns:dcterms="http://purl.org/dc/terms/" xmlns:xsi="http://www.w3.org/2001/XMLSchema-instance" xsi:type="dcterms:W3CDTF">2026-06-23T03:58:39Z</dcterms:modified>
  <cp:lastModifiedBy>Dinesh Sharma</cp:lastModifiedBy>
  <cp:revision>0</cp:revision>
</cp:coreProperties>
</file>