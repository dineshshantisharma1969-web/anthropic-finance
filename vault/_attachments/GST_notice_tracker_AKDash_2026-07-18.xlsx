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hidden" name="Sheet4" sheetId="2" r:id="rId5"/>
    <sheet state="hidden" name="⚙️ Sync Log" sheetId="3" r:id="rId6"/>
    <sheet state="hidden" name="Source data official" sheetId="4" r:id="rId7"/>
    <sheet state="visible" name="📋 All Notices" sheetId="5" r:id="rId8"/>
    <sheet state="visible" name="Sheet1" sheetId="6" r:id="rId9"/>
    <sheet state="visible" name="📈 Analytics" sheetId="7" r:id="rId10"/>
    <sheet state="visible" name="37 Andhra Pradesh" sheetId="8" r:id="rId11"/>
    <sheet state="visible" name="18 Assam" sheetId="9" r:id="rId12"/>
    <sheet state="visible" name="10 Bihar" sheetId="10" r:id="rId13"/>
    <sheet state="visible" name="04 Chandigarh" sheetId="11" r:id="rId14"/>
    <sheet state="visible" name="07 Delhi" sheetId="12" r:id="rId15"/>
    <sheet state="visible" name="06 Haryana" sheetId="13" r:id="rId16"/>
    <sheet state="visible" name="02 Himachal Pradesh" sheetId="14" r:id="rId17"/>
    <sheet state="visible" name="20 Jharkhand" sheetId="15" r:id="rId18"/>
    <sheet state="visible" name="29 Karnataka" sheetId="16" r:id="rId19"/>
    <sheet state="visible" name="32 Kerala" sheetId="17" r:id="rId20"/>
    <sheet state="visible" name="27 Maharashtra" sheetId="18" r:id="rId21"/>
    <sheet state="visible" name="21 Odisha" sheetId="19" r:id="rId22"/>
    <sheet state="visible" name="03 Punjab" sheetId="20" r:id="rId23"/>
    <sheet state="visible" name="08 Rajasthan" sheetId="21" r:id="rId24"/>
    <sheet state="visible" name="33 Tamil Nadu" sheetId="22" r:id="rId25"/>
    <sheet state="visible" name="36 Telangana" sheetId="23" r:id="rId26"/>
    <sheet state="visible" name="09 Uttar Pradesh" sheetId="24" r:id="rId27"/>
    <sheet state="visible" name="05 Uttarakhand" sheetId="25" r:id="rId28"/>
    <sheet state="visible" name="19 West Bengal" sheetId="26" r:id="rId29"/>
    <sheet state="visible" name="⚙️ Settings" sheetId="27" r:id="rId30"/>
  </sheets>
  <definedNames>
    <definedName hidden="1" localSheetId="3" name="_xlnm._FilterDatabase">'Source data official'!$A$1:$Z$12</definedName>
  </definedNames>
  <calcPr/>
  <extLst>
    <ext uri="GoogleSheetsCustomDataVersion2">
      <go:sheetsCustomData xmlns:go="http://customooxmlschemas.google.com/" r:id="rId31" roundtripDataChecksum="eM1wA8kC9uo9jirF2CUuW2vOxHIv4MZyK/jFdlICQV0="/>
    </ext>
  </extLst>
</workbook>
</file>

<file path=xl/sharedStrings.xml><?xml version="1.0" encoding="utf-8"?>
<sst xmlns="http://schemas.openxmlformats.org/spreadsheetml/2006/main" count="1392" uniqueCount="411">
  <si>
    <t>🏛️ GST NOTICE TRACKER - IMPRESSIONS SERVICES PVT LTD</t>
  </si>
  <si>
    <t>📍 19 State/UT Registrations | Section 73 &amp; 74 Cases | DGGI Matters</t>
  </si>
  <si>
    <t>📅 Last Updated:</t>
  </si>
  <si>
    <t>📊 KEY METRICS SUMMARY</t>
  </si>
  <si>
    <t>📋 Total Cases</t>
  </si>
  <si>
    <t>⏳ Pending Cases</t>
  </si>
  <si>
    <t>✅ Completed</t>
  </si>
  <si>
    <t>📝 Reply Pending</t>
  </si>
  <si>
    <t>⚖️ Under Appeal</t>
  </si>
  <si>
    <t>💰 TAX DEMAND SUMMARY (₹)</t>
  </si>
  <si>
    <t>Total Demand</t>
  </si>
  <si>
    <t>IGST Demand</t>
  </si>
  <si>
    <t>CGST Demand</t>
  </si>
  <si>
    <t>SGST Demand</t>
  </si>
  <si>
    <t>Interest  Demand</t>
  </si>
  <si>
    <t>Penalty Demand</t>
  </si>
  <si>
    <t>Late fee Demand</t>
  </si>
  <si>
    <t>Appeal Deposited</t>
  </si>
  <si>
    <t>📑 CASE TYPE SUMMARY</t>
  </si>
  <si>
    <t>📍 STATE-WISE SUMMARY</t>
  </si>
  <si>
    <t>Case Type</t>
  </si>
  <si>
    <t>Total</t>
  </si>
  <si>
    <t>Pending</t>
  </si>
  <si>
    <t>Demand (₹)</t>
  </si>
  <si>
    <t>State</t>
  </si>
  <si>
    <t>Cases</t>
  </si>
  <si>
    <t>Completed</t>
  </si>
  <si>
    <t>Sec 74 - DGGI</t>
  </si>
  <si>
    <t>Andhra Pradesh</t>
  </si>
  <si>
    <t>Sec 74 - Other</t>
  </si>
  <si>
    <t>Assam</t>
  </si>
  <si>
    <t>Sec 73</t>
  </si>
  <si>
    <t>Bihar</t>
  </si>
  <si>
    <t>DRC-01A</t>
  </si>
  <si>
    <t>Chandigarh</t>
  </si>
  <si>
    <t>DRC-07</t>
  </si>
  <si>
    <t>Delhi</t>
  </si>
  <si>
    <t>ASMT-10</t>
  </si>
  <si>
    <t>Haryana</t>
  </si>
  <si>
    <t>APL-01 (Appeal Filed)</t>
  </si>
  <si>
    <t>Himachal Pradesh</t>
  </si>
  <si>
    <t>Jharkhand</t>
  </si>
  <si>
    <t>Karnataka</t>
  </si>
  <si>
    <t>Kerala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</si>
  <si>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</si>
  <si>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</si>
  <si>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</si>
  <si>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</si>
  <si>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</si>
  <si>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</si>
  <si>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</si>
  <si>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</si>
  <si>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</si>
  <si>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⏰ DUE DATE ALERTS &amp; QUICK STATS</t>
  </si>
  <si>
    <t>📅 Due in 7 Days</t>
  </si>
  <si>
    <t>🚨 Overdue</t>
  </si>
  <si>
    <t>📝 Sec 73 Cases</t>
  </si>
  <si>
    <t>📝 Sec 74 Cases</t>
  </si>
  <si>
    <t>📝 DGGI Cases</t>
  </si>
  <si>
    <t>Timestamp</t>
  </si>
  <si>
    <t>Status</t>
  </si>
  <si>
    <t>Details</t>
  </si>
  <si>
    <t>Success</t>
  </si>
  <si>
    <t>Auto-sync</t>
  </si>
  <si>
    <t>DEMAND ID</t>
  </si>
  <si>
    <t>Case Id</t>
  </si>
  <si>
    <t>FY</t>
  </si>
  <si>
    <t>Section</t>
  </si>
  <si>
    <t>Original Notice</t>
  </si>
  <si>
    <t>DUE DATE</t>
  </si>
  <si>
    <t>DESCRPTION OF CASE</t>
  </si>
  <si>
    <t>IGST</t>
  </si>
  <si>
    <t>CGST</t>
  </si>
  <si>
    <t>SGST</t>
  </si>
  <si>
    <t>int-igst</t>
  </si>
  <si>
    <t>int-cgst</t>
  </si>
  <si>
    <t>int-sgst</t>
  </si>
  <si>
    <t xml:space="preserve">Total interest </t>
  </si>
  <si>
    <t>penalty-igst</t>
  </si>
  <si>
    <t>penalty-cgst</t>
  </si>
  <si>
    <t>penalty-sgst</t>
  </si>
  <si>
    <t>total penalty</t>
  </si>
  <si>
    <t>Fee SGST</t>
  </si>
  <si>
    <t>fee CGST</t>
  </si>
  <si>
    <t>total fee</t>
  </si>
  <si>
    <t xml:space="preserve">TOTAL DEMAND  </t>
  </si>
  <si>
    <t>APPEAL AMT DEPOSITED</t>
  </si>
  <si>
    <t>ORDER Status</t>
  </si>
  <si>
    <t>REMARKS ON CASE STATUS</t>
  </si>
  <si>
    <t>ZD070725031057H</t>
  </si>
  <si>
    <t>AD0707250169402</t>
  </si>
  <si>
    <t>2021-22</t>
  </si>
  <si>
    <t>DRC-01</t>
  </si>
  <si>
    <t>GST Scrutiny Audit-2021-22</t>
  </si>
  <si>
    <t>Pending Order</t>
  </si>
  <si>
    <t>ONLINE REPLY DRC-06 FILED  dt.29/07/2025 with  details enclosed</t>
  </si>
  <si>
    <t>DELHI</t>
  </si>
  <si>
    <t>ZD070925072739O</t>
  </si>
  <si>
    <t>AD0709250320266</t>
  </si>
  <si>
    <t>2019-20</t>
  </si>
  <si>
    <t>SCRUTINY OF RETURN FY-2019-20</t>
  </si>
  <si>
    <t>REPLY DETAILS ANNEXURE FILED ONLINE ON 22/10/2025</t>
  </si>
  <si>
    <t>DELHI-14</t>
  </si>
  <si>
    <t>ZD070824017152N</t>
  </si>
  <si>
    <t>AD070524056836R</t>
  </si>
  <si>
    <t>AUDIT SCRUTINY FY-2019-20</t>
  </si>
  <si>
    <t>WRIT FILED IN HIGH COURT BY ARCHANA MAAM</t>
  </si>
  <si>
    <t xml:space="preserve">HARYANA </t>
  </si>
  <si>
    <t>ZD060225038336K</t>
  </si>
  <si>
    <t>AD061124011756D</t>
  </si>
  <si>
    <t>2020-21</t>
  </si>
  <si>
    <t>SCRUTINY OF RETURN FY-2020-21</t>
  </si>
  <si>
    <t>APPEAL FILED ON 28/06/2025</t>
  </si>
  <si>
    <t>Haryana HRY-04</t>
  </si>
  <si>
    <t>ZD0612230350316</t>
  </si>
  <si>
    <t>AD0606230066763</t>
  </si>
  <si>
    <t>2017-18</t>
  </si>
  <si>
    <t>In response towards the replu Against DRC-01</t>
  </si>
  <si>
    <t>GRIVIANCE FILED FOR RE-CONSIDIRATION AGAINST APL-4 (APPEAL REJECTION)</t>
  </si>
  <si>
    <t>Haryana HRY-07</t>
  </si>
  <si>
    <t>ZD060225011119V</t>
  </si>
  <si>
    <t>AD060824008203G</t>
  </si>
  <si>
    <t>Cancel dealer ITC Calim of rs. 6671519/- RK Traders</t>
  </si>
  <si>
    <t>APPEAL FILED CASE IS PENDING</t>
  </si>
  <si>
    <t>ZD0203250056107</t>
  </si>
  <si>
    <t>AD0212240011335</t>
  </si>
  <si>
    <t>2024-25</t>
  </si>
  <si>
    <t>TURNOVER MISMATCH GSTR1 VS GSTR3B FY-2024-25</t>
  </si>
  <si>
    <t>After DRC-06 REply filed on 07/02/2025 but Dept issued DRC-07 dt.25/03/25</t>
  </si>
  <si>
    <t>Maharashtra-10</t>
  </si>
  <si>
    <t>ZD270324041508G</t>
  </si>
  <si>
    <t>AD2706240205068</t>
  </si>
  <si>
    <t>2018-19</t>
  </si>
  <si>
    <t>15/12/2023</t>
  </si>
  <si>
    <t>16/01/2024</t>
  </si>
  <si>
    <t>APL -01 Filed on the higlighted notice</t>
  </si>
  <si>
    <t>MAHARASTRA-11</t>
  </si>
  <si>
    <t>ZD271224017164R</t>
  </si>
  <si>
    <t>AD271224006823B</t>
  </si>
  <si>
    <t>2022-23</t>
  </si>
  <si>
    <t>Intimation of Return Scrutiny FY-2022-23</t>
  </si>
  <si>
    <t>FINAL ORDER PENDING BY DEPT</t>
  </si>
  <si>
    <t>West Bengal-1</t>
  </si>
  <si>
    <t>ZD191223069956V</t>
  </si>
  <si>
    <t>Excess ITC Claimed(AUDIT SCRUTINY FY-2017-18)</t>
  </si>
  <si>
    <t>CASE IS UNDER TRIBUNAL APPEALIATE AUTHORITY</t>
  </si>
  <si>
    <t>West Bengal-2</t>
  </si>
  <si>
    <t>ZD191223069958R</t>
  </si>
  <si>
    <t>Short Payment of Tax (AUDIT SCRUTINY FY-2018-19)</t>
  </si>
  <si>
    <t>📋 ALL GST NOTICES - IMPRESSIONS SERVICES PVT LTD</t>
  </si>
  <si>
    <t>RESPONSIBILITY</t>
  </si>
  <si>
    <t>Demand ID</t>
  </si>
  <si>
    <t>Case ID</t>
  </si>
  <si>
    <t>DRC-01 (Sec 74 - DGGI)</t>
  </si>
  <si>
    <t>Issue Date</t>
  </si>
  <si>
    <t>Due Date</t>
  </si>
  <si>
    <t>IGST (₹)</t>
  </si>
  <si>
    <t>CGST (₹)</t>
  </si>
  <si>
    <t>SGST (₹)</t>
  </si>
  <si>
    <t>Interest (₹)</t>
  </si>
  <si>
    <t>Penalty (₹)</t>
  </si>
  <si>
    <t>Late Fee (₹)</t>
  </si>
  <si>
    <t>Total Demand (₹)</t>
  </si>
  <si>
    <t>Appeal Deposited (₹)</t>
  </si>
  <si>
    <t>Final Status</t>
  </si>
  <si>
    <t>Order Status</t>
  </si>
  <si>
    <t>Description</t>
  </si>
  <si>
    <t>ISPL Notes</t>
  </si>
  <si>
    <t>Way Forward</t>
  </si>
  <si>
    <t>REMARKS</t>
  </si>
  <si>
    <t>STATUS AS ON DATE</t>
  </si>
  <si>
    <t>ZD0703260518466</t>
  </si>
  <si>
    <t>25-03-2026</t>
  </si>
  <si>
    <t>Active</t>
  </si>
  <si>
    <t>APPEAL FILED STATUS PENDING</t>
  </si>
  <si>
    <t>REPLY DETAILS ANNEXURE FILED ONLINE ON 22/10/2025,no DRC-07 issued till date</t>
  </si>
  <si>
    <t>DRC-07 ISSUED TO FILE APPEAL</t>
  </si>
  <si>
    <t>Documents  to submit in hard copy</t>
  </si>
  <si>
    <t>DRC-07 (Sec 73)</t>
  </si>
  <si>
    <t>WRIT FILED AT HIGH CRT</t>
  </si>
  <si>
    <t>writ filed  and it can be settled outside the court</t>
  </si>
  <si>
    <t>Dcomuts  to submit in hard copy</t>
  </si>
  <si>
    <t>ZD070326038075I</t>
  </si>
  <si>
    <t>AD0703260199702</t>
  </si>
  <si>
    <t>DRC-01 (Sec 74)</t>
  </si>
  <si>
    <t>20/04/2026</t>
  </si>
  <si>
    <t>Closed</t>
  </si>
  <si>
    <t>LATE FILING RETURN INTEREST-2021-22</t>
  </si>
  <si>
    <t>PAID THRU DRC-03 _AD070426009271E ( DRC07_DROP ORDER_ZD070626013691F DT.10/06/2026 ISSUED)</t>
  </si>
  <si>
    <t>ZD070225002579G</t>
  </si>
  <si>
    <t>35/2024-25</t>
  </si>
  <si>
    <t>DRC-07 (Sec 74 - DGGI)</t>
  </si>
  <si>
    <t>DELHI HIGH COURT DIARY No 4003818/2025 _WP© DT.02-06-2026</t>
  </si>
  <si>
    <t>ZD070225002581V</t>
  </si>
  <si>
    <t xml:space="preserve">Delhi </t>
  </si>
  <si>
    <t>ZD0712250834287</t>
  </si>
  <si>
    <t>28-03-2026</t>
  </si>
  <si>
    <t>APPEAL FILED,STATUS PENDING</t>
  </si>
  <si>
    <t>ONLINE REPLY DRC-06 FILED dt.29/07/2025 with details enclosed, DRC-07 issued  dt.30/12/2025</t>
  </si>
  <si>
    <t>RECTIFICATION REQUEST FILED DT 31/12/2025 AGAINST DRC-07 TO PROTECT ANY PROCEEDINGS</t>
  </si>
  <si>
    <t>In response towards the reply Against DRC-01 (APL-01 REJECTED &amp; APL-04 ISSUED )</t>
  </si>
  <si>
    <t>GRIVIANCE FILED FOR RE-CONSIDIRATION AGAINST APL-4 (APPEAL REJECTION) dt.07/01/2025</t>
  </si>
  <si>
    <t>HIGH COURT FOR THE STATES OF PUNJAB AND HARYANA AT CHANDIGARH _DIARY NO [Miscellaneous - CWP] APB20240004142C202600008 DT.02-06-2026</t>
  </si>
  <si>
    <t>Appeal Filed status pending</t>
  </si>
  <si>
    <t>Cancel dealer ITC Calim of rs. 6671519/- RK Traders ( APPEAL FILED)</t>
  </si>
  <si>
    <t>APPEAL FILED  ON DT.08/04/2025 WITH APPEAL AMT DEPOSITED ( APL-2 ISSUED)</t>
  </si>
  <si>
    <t>Appeal filed awaitng for next process by Dept.</t>
  </si>
  <si>
    <t>APPEAL FILED  (Cancel dealer ITC Calim of rs. 6671519/- RK Traders) ,STATUS PENDING</t>
  </si>
  <si>
    <t>To meet with officer on appeal final processing</t>
  </si>
  <si>
    <t>ZD060824000468F/ZD060125033178N</t>
  </si>
  <si>
    <t>AD060824000225I</t>
  </si>
  <si>
    <t>Enforcement Case</t>
  </si>
  <si>
    <t>29-08-2024</t>
  </si>
  <si>
    <t>Reply Filed DRC-03 payment made</t>
  </si>
  <si>
    <t>Cancel dealer ITC Calim of M/S Dhanaasha Infracon_FY-2017-18</t>
  </si>
  <si>
    <t>REPLY FILED WITH DRC-03 PAYMENT  M/S.DHANAASHA INFRACON ),CONDONATION APPEAL TO FILE</t>
  </si>
  <si>
    <t>ZD0612250705787</t>
  </si>
  <si>
    <t>AD0606250204096</t>
  </si>
  <si>
    <t>DRC-07 (Sec 74)</t>
  </si>
  <si>
    <t>30-12-2025</t>
  </si>
  <si>
    <t>Reply Filed tax paid interest pending</t>
  </si>
  <si>
    <t>Cancel dealer ITC Calim of rs. 723975/ OF HEMU OVERSEAS</t>
  </si>
  <si>
    <t>TAX AMOUNT SETTLED  BUT INTREST PENDING AS THIS IS A DGGI MATTER_ITC Calim of rs. 723975/ OF HEMU OVERSEAS</t>
  </si>
  <si>
    <t>himanshu Dubey</t>
  </si>
  <si>
    <t>ZD061225065921F</t>
  </si>
  <si>
    <t>AD0606250262755</t>
  </si>
  <si>
    <t>30-01-2026</t>
  </si>
  <si>
    <t>Cancel dealer ITC Calim of rs. 86220/- RADHEY ENTERPRISES -2018-19</t>
  </si>
  <si>
    <t>( RECTIFICATION AGAINST ORDER  FILED) DT.08-01-2026</t>
  </si>
  <si>
    <t>HAD A MEETING  WITH AC/ EAST-2 CGST GGN ON 21/01/2026 WILL VISIT AGAIN TO REVIEW ON THIS MATTER</t>
  </si>
  <si>
    <t xml:space="preserve">APPEAL FILED (Cancel dealer ITC Calim of IGST RS. 86220/ OF RADHEY ENTERPRISES-07BZEPG9648C1IE) STATUS PENDING
</t>
  </si>
  <si>
    <t xml:space="preserve">APPEAL-2 TO FILE ON GSTAT URGENTLY BY 31/07/2026 </t>
  </si>
  <si>
    <t>SCRUTINY OF RETURN FY-2020-21 (APPEAL FILED)</t>
  </si>
  <si>
    <t>DRC-07 ORDER ISSUED AGAINST OUR REPLY FILED .Appeal _APL-01 FILED DT.28/06/25 WITH DEPOSITED AMT.62230/- no APL-04 issued till date</t>
  </si>
  <si>
    <t xml:space="preserve">APPEAL-2 TO FILE ON GSTAT URGENTLY BY 31/07/2026 (SHARED IN GROUP COURT FEES RS.25000/- DEPOSITED FOR GSTAT ) PENDING @ DISHANT JI </t>
  </si>
  <si>
    <t>AK DASH</t>
  </si>
  <si>
    <t>reply till 12/06/2026</t>
  </si>
  <si>
    <t>ZD060925054064D</t>
  </si>
  <si>
    <t>AD060425016525A</t>
  </si>
  <si>
    <t>GST AUDIT</t>
  </si>
  <si>
    <t>29-10-2025</t>
  </si>
  <si>
    <t>closed order passed</t>
  </si>
  <si>
    <t xml:space="preserve">SCRUTINY OF RETURN  GST AUDIT FY-2021-22
</t>
  </si>
  <si>
    <t>DRC-01 TO PAY AS PER ADT-2 FINAL DEMAND PAID RS.172721/- THRU DRC-03 DT.09/10/25 (Closed order passed)</t>
  </si>
  <si>
    <t>ZD060425033442Q/ ZD060526036133O</t>
  </si>
  <si>
    <t>AD0604250165268</t>
  </si>
  <si>
    <t>DRC-01 (Sec 73)</t>
  </si>
  <si>
    <t>26-06-2026</t>
  </si>
  <si>
    <t>ADT-2 REPLY FILED ON 27/06/2026 deptt response awaited</t>
  </si>
  <si>
    <t xml:space="preserve">SCRUTINY OF RETURN  GST AUDIT 
</t>
  </si>
  <si>
    <t xml:space="preserve">ADT-2 REPLY FILED ON 27/06/2026 as per review  BY DISHANT JI </t>
  </si>
  <si>
    <t>REPLY DRAFT SENT TO DISHANT JI FOR APPROVAL ON 17/06/26 THRU WHATTSAAP</t>
  </si>
  <si>
    <t>ZD060825031852B / ZD060526036222P</t>
  </si>
  <si>
    <t>AD060425016524C</t>
  </si>
  <si>
    <t>2023-24</t>
  </si>
  <si>
    <t>ZD060225001319T</t>
  </si>
  <si>
    <t>ZD0602250013127</t>
  </si>
  <si>
    <t>APPEAL  WITH CONDONATION FILED STATUS PENDING</t>
  </si>
  <si>
    <t>After DRC-06 REply filed on 07/02/2025 but Dept issued DRC-07 dt.25/03/25.Greiviance of Rectification Request filed dt.29/12/2025</t>
  </si>
  <si>
    <t>To be pursue by  CA Himanshu Dubey</t>
  </si>
  <si>
    <t>ZD200225000242H</t>
  </si>
  <si>
    <t>ZD290225003751N</t>
  </si>
  <si>
    <t>ZD3202250010459</t>
  </si>
  <si>
    <t>Appeal Filed underprocess</t>
  </si>
  <si>
    <t>Already we have filed online &amp; ofline supported docs but GST Dept declined all these  and issued DRC-07 dt.19-03-24  against which we have filed Appeal taht has been admited by dept.</t>
  </si>
  <si>
    <t>APPEAL FILED &amp; APL-2 ISSUED BY DEPT</t>
  </si>
  <si>
    <t>under negotiation being followed by Brijmohan ji paper submmitted today</t>
  </si>
  <si>
    <t>APPEAL FILED AND  HEARING UNDER PROCESS TO HANDEL BY HITESH JI</t>
  </si>
  <si>
    <t>FINAL APPEAL DOCUMENTS to PRODUCE</t>
  </si>
  <si>
    <t>ASMT-10 (Scrutiny)</t>
  </si>
  <si>
    <t>Order Pending</t>
  </si>
  <si>
    <t>FINAL ORDER AWAITING FROM DEPT</t>
  </si>
  <si>
    <t>meeting on 07/01/2026 in mumbai</t>
  </si>
  <si>
    <t>REPLY FILED  IN DETAILS SUPPORTED COPY ALONG WITH DRC-03 PAYAMENT</t>
  </si>
  <si>
    <t>ZD270225002570W</t>
  </si>
  <si>
    <t>DGGI WRIT ACKNOWLEDGEMENT REQUIRE</t>
  </si>
  <si>
    <t>ZD080225000863N</t>
  </si>
  <si>
    <t>TAMILNADU</t>
  </si>
  <si>
    <t>ZD3304261712995</t>
  </si>
  <si>
    <t>AD330426043759T</t>
  </si>
  <si>
    <t>20-04-2026</t>
  </si>
  <si>
    <t>19-05-2026</t>
  </si>
  <si>
    <t>ONLINE REPLY FILED_DRC-06 STATUS YET PENDING</t>
  </si>
  <si>
    <t>TELANGANA</t>
  </si>
  <si>
    <t>ZD360526020645E</t>
  </si>
  <si>
    <t>Reply Filed</t>
  </si>
  <si>
    <t>REPLY FILED  IN DETAILS SUPPORTED COPY ALONG WITH DRC-03 PAYAMENT ON 12/06/2026,STATUS AWAITING</t>
  </si>
  <si>
    <t>ZD360225002383U</t>
  </si>
  <si>
    <t>ZD090225012652O</t>
  </si>
  <si>
    <t>ZD090225012656G</t>
  </si>
  <si>
    <t>Reply Filed status pending</t>
  </si>
  <si>
    <t>HEARING ATTENDED NOW CASE UNDER Appellate Tribunal</t>
  </si>
  <si>
    <t>Excess ITC Claimed(AUDIT SCRUTINY FY-2017-18) APL-01 FILED &amp;  HEARING APPEARED BEFORE APPEALIATE AUTHORITY</t>
  </si>
  <si>
    <t>Had a telecon with Authority regarding appeal process awaiting his confirmation</t>
  </si>
  <si>
    <t>Short Payment of Tax (AUDIT SCRUTINY FY-2018-19) APL-01 FILED &amp;  HEARING APPEARED BEFORE APPEALIATE AUTHORITY</t>
  </si>
  <si>
    <t>ZD190225002834J/ ZD190625056607Y</t>
  </si>
  <si>
    <t>AD190824004645X</t>
  </si>
  <si>
    <t>RECTIFICATION REJECTED to take action</t>
  </si>
  <si>
    <t>DHANAASHA INFRACON ENFORCEMENT_2017-18 (RECTIFICATION REJEC TED BY DEPT) NEED URGENT ACTION TO FILE APPEAL WITH CONDONATION</t>
  </si>
  <si>
    <t>ZD190225000734N</t>
  </si>
  <si>
    <t>📈 GST NOTICE ANALYTICS - IMPRESSIONS SERVICES PVT LTD</t>
  </si>
  <si>
    <t>🕐 Last Updated:</t>
  </si>
  <si>
    <t>📊 OVERALL SUMMARY</t>
  </si>
  <si>
    <t>📋 Total Notices</t>
  </si>
  <si>
    <t>🏷️ Tax Demand</t>
  </si>
  <si>
    <t>💰 Total Demand</t>
  </si>
  <si>
    <t>💵 Interest</t>
  </si>
  <si>
    <t>⚠️ Penalty</t>
  </si>
  <si>
    <t>📋 Late Fee</t>
  </si>
  <si>
    <t>🏦 Appeal Deposited</t>
  </si>
  <si>
    <t>🔴 Active Cases</t>
  </si>
  <si>
    <t>📊 STATUS SUMMARY</t>
  </si>
  <si>
    <t>📈 CASE TYPE ANALYSIS</t>
  </si>
  <si>
    <t>📅 FY-WISE BREAKDOWN</t>
  </si>
  <si>
    <t>Count</t>
  </si>
  <si>
    <t>Tax Demand</t>
  </si>
  <si>
    <t>Financial Year</t>
  </si>
  <si>
    <t>Under Appeal</t>
  </si>
  <si>
    <t>DRC-01B</t>
  </si>
  <si>
    <t>Dropped</t>
  </si>
  <si>
    <t>DRC-03</t>
  </si>
  <si>
    <t>Order Issued</t>
  </si>
  <si>
    <t>TOTAL</t>
  </si>
  <si>
    <t>MOV-09</t>
  </si>
  <si>
    <t>🏛️ STATE-WISE SUMMARY</t>
  </si>
  <si>
    <t>Interest</t>
  </si>
  <si>
    <t>Penalty</t>
  </si>
  <si>
    <t>Late Fee</t>
  </si>
  <si>
    <t>Appeal Dep.</t>
  </si>
  <si>
    <t>📊 VISUAL ANALYTICS</t>
  </si>
  <si>
    <t>🏛️ ANDHRA PRADESH - GST NOTICES</t>
  </si>
  <si>
    <t>📋 GSTIN:</t>
  </si>
  <si>
    <t>37AAACI9641L1Z5</t>
  </si>
  <si>
    <t>Code:</t>
  </si>
  <si>
    <t>📊 Cases:</t>
  </si>
  <si>
    <t>💰 Total Demand:</t>
  </si>
  <si>
    <t>💵 Interest:</t>
  </si>
  <si>
    <t>⚠️ Penalty:</t>
  </si>
  <si>
    <t>📋 Late Fee:</t>
  </si>
  <si>
    <t>✅ Active:</t>
  </si>
  <si>
    <t>#</t>
  </si>
  <si>
    <t>Appeal Dep. (₹)</t>
  </si>
  <si>
    <t>🏛️ ASSAM - GST NOTICES</t>
  </si>
  <si>
    <t>18AAACI9641L1Z5</t>
  </si>
  <si>
    <t>🏛️ BIHAR - GST NOTICES</t>
  </si>
  <si>
    <t>10AAACI9641L2ZK</t>
  </si>
  <si>
    <t>🏛️ CHANDIGARH - GST NOTICES</t>
  </si>
  <si>
    <t>04AAACI9641L1ZE</t>
  </si>
  <si>
    <t>🏛️ DELHI - GST NOTICES</t>
  </si>
  <si>
    <t>07AAACI9641L1Z8</t>
  </si>
  <si>
    <t>🏛️ HARYANA - GST NOTICES</t>
  </si>
  <si>
    <t>06AAACI9641L1ZA</t>
  </si>
  <si>
    <t>🏛️ HIMACHAL PRADESH - GST NOTICES</t>
  </si>
  <si>
    <t>02AAACI9641L1ZI</t>
  </si>
  <si>
    <t>🏛️ JHARKHAND - GST NOTICES</t>
  </si>
  <si>
    <t>20AAACI9641L2ZJ</t>
  </si>
  <si>
    <t>🏛️ KARNATAKA - GST NOTICES</t>
  </si>
  <si>
    <t>29AAACI9641L1Z2</t>
  </si>
  <si>
    <t>🏛️ KERALA - GST NOTICES</t>
  </si>
  <si>
    <t>32AAACI9641L1ZF</t>
  </si>
  <si>
    <t>🏛️ MAHARASHTRA - GST NOTICES</t>
  </si>
  <si>
    <t>27AAACI9641L1Z6</t>
  </si>
  <si>
    <t>🏛️ ODISHA - GST NOTICES</t>
  </si>
  <si>
    <t>21AAACI9641L1ZI</t>
  </si>
  <si>
    <t>🏛️ PUNJAB - GST NOTICES</t>
  </si>
  <si>
    <t>03AAACI9641L1ZG</t>
  </si>
  <si>
    <t>🏛️ RAJASTHAN - GST NOTICES</t>
  </si>
  <si>
    <t>08AAACI9641L2Z5</t>
  </si>
  <si>
    <t>🏛️ TAMIL NADU - GST NOTICES</t>
  </si>
  <si>
    <t>33AAACI9641L1ZD</t>
  </si>
  <si>
    <t>🏛️ TELANGANA - GST NOTICES</t>
  </si>
  <si>
    <t>36AAACI9641L1Z7</t>
  </si>
  <si>
    <t>🏛️ UTTAR PRADESH - GST NOTICES</t>
  </si>
  <si>
    <t>09AAACI9641L1Z4</t>
  </si>
  <si>
    <t>🏛️ UTTARAKHAND - GST NOTICES</t>
  </si>
  <si>
    <t>05AAACI9641L1ZC</t>
  </si>
  <si>
    <t>🏛️ WEST BENGAL - GST NOTICES</t>
  </si>
  <si>
    <t>19AAACI9641L1Z3</t>
  </si>
  <si>
    <t>⚙️ SETTINGS &amp; CONFIGURATION - IMPRESSIONS SERVICES PVT LTD</t>
  </si>
  <si>
    <t>📍 STATE GSTIN REGISTRY (19 Registrations)</t>
  </si>
  <si>
    <t>📑 CASE TYPES</t>
  </si>
  <si>
    <t>Code</t>
  </si>
  <si>
    <t>State / UT</t>
  </si>
  <si>
    <t>GSTIN</t>
  </si>
  <si>
    <t>DGGI Investigation - Fraud/Suppression cases</t>
  </si>
  <si>
    <t>Normal demand - Non-fraud cases</t>
  </si>
  <si>
    <t>Demand for fraud/suppression cases</t>
  </si>
  <si>
    <t>DRC-01A (Intimation)</t>
  </si>
  <si>
    <t>Intimation before demand</t>
  </si>
  <si>
    <t>Summary of Order u/s 73</t>
  </si>
  <si>
    <t>Summary of Order u/s 74</t>
  </si>
  <si>
    <t>DRC-07 (Sec 75)</t>
  </si>
  <si>
    <t>Summary of Order u/s 75</t>
  </si>
  <si>
    <t>DRC-08 (Rectification)</t>
  </si>
  <si>
    <t>Rectification Order</t>
  </si>
  <si>
    <t>Scrutiny of Returns</t>
  </si>
  <si>
    <t>ADT-01 (Audit Notice)</t>
  </si>
  <si>
    <t>GST Audit Notice</t>
  </si>
  <si>
    <t>Appeal filed by taxpayer</t>
  </si>
  <si>
    <t>Enforcement/Investigation</t>
  </si>
  <si>
    <t>Other</t>
  </si>
  <si>
    <t>Other case types</t>
  </si>
  <si>
    <t>📋 STATUS OPTIONS</t>
  </si>
  <si>
    <t>Case is currently active/ongoing</t>
  </si>
  <si>
    <t>Pending Reply</t>
  </si>
  <si>
    <t>Reply to be submitted</t>
  </si>
  <si>
    <t>Awaiting department order</t>
  </si>
  <si>
    <t>Appeal filed, pending decision</t>
  </si>
  <si>
    <t>Case resolved/completed</t>
  </si>
  <si>
    <t>Case closed - no action needed</t>
  </si>
  <si>
    <t>Proceedings dropped by department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</si>
</sst>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M-yyyy hh:mm AM/PM"/>
    <numFmt numFmtId="165" formatCode="₹#,##,##0"/>
    <numFmt numFmtId="166" formatCode="D/M/YYYY"/>
    <numFmt numFmtId="167" formatCode="_ * #,##0.00_ ;_ * \-#,##0.00_ ;_ * &quot;-&quot;??_ ;_ @_ "/>
    <numFmt numFmtId="168" formatCode="d/m/yyyy"/>
    <numFmt numFmtId="169" formatCode="_(* #,##0.00_);_(* \(#,##0.00\);_(* &quot;-&quot;??_);_(@_)"/>
    <numFmt numFmtId="170" formatCode="dd-MMM-yyyy"/>
    <numFmt numFmtId="171" formatCode="d-mmmm-yyyy"/>
  </numFmts>
  <fonts count="66">
    <font>
      <sz val="10.0"/>
      <color rgb="FF000000"/>
      <name val="Arial"/>
      <scheme val="minor"/>
    </font>
    <font>
      <b/>
      <sz val="20.0"/>
      <color rgb="FFFFFFFF"/>
      <name val="Arial"/>
    </font>
    <font>
      <i/>
      <color rgb="FFFFFFFF"/>
      <name val="Arial"/>
    </font>
    <font>
      <b/>
      <color theme="1"/>
      <name val="Arial"/>
    </font>
    <font>
      <color theme="1"/>
      <name val="Arial"/>
    </font>
    <font>
      <b/>
      <sz val="14.0"/>
      <color rgb="FFFFFFFF"/>
      <name val="Arial"/>
    </font>
    <font/>
    <font>
      <b/>
      <sz val="21.0"/>
      <color rgb="FF3B82F6"/>
      <name val="Arial"/>
    </font>
    <font>
      <b/>
      <sz val="21.0"/>
      <color rgb="FFF59E0B"/>
      <name val="Arial"/>
    </font>
    <font>
      <b/>
      <sz val="21.0"/>
      <color rgb="FF059669"/>
      <name val="Arial"/>
    </font>
    <font>
      <b/>
      <sz val="21.0"/>
      <color rgb="FFDC2626"/>
      <name val="Arial"/>
    </font>
    <font>
      <b/>
      <sz val="21.0"/>
      <color rgb="FF7C3AED"/>
      <name val="Arial"/>
    </font>
    <font>
      <b/>
      <sz val="32.0"/>
      <color rgb="FF7C3AED"/>
      <name val="Arial"/>
    </font>
    <font>
      <b/>
      <sz val="18.0"/>
      <color rgb="FFDC2626"/>
      <name val="Arial"/>
    </font>
    <font>
      <b/>
      <sz val="16.0"/>
      <color theme="1"/>
      <name val="Arial"/>
    </font>
    <font>
      <b/>
      <sz val="16.0"/>
      <color rgb="FF059669"/>
      <name val="Arial"/>
    </font>
    <font>
      <sz val="7.0"/>
      <color theme="1"/>
      <name val="Arial"/>
    </font>
    <font>
      <b/>
      <sz val="12.0"/>
      <color rgb="FFFFFFFF"/>
      <name val="Arial"/>
    </font>
    <font>
      <b/>
      <sz val="24.0"/>
      <color rgb="FFF59E0B"/>
      <name val="Arial"/>
    </font>
    <font>
      <b/>
      <sz val="24.0"/>
      <color rgb="FFDC2626"/>
      <name val="Arial"/>
    </font>
    <font>
      <b/>
      <sz val="24.0"/>
      <color rgb="FF3B82F6"/>
      <name val="Arial"/>
    </font>
    <font>
      <b/>
      <sz val="24.0"/>
      <color rgb="FF7C3AED"/>
      <name val="Arial"/>
    </font>
    <font>
      <b/>
      <color rgb="FFFFFFFF"/>
      <name val="Arial"/>
    </font>
    <font>
      <b/>
      <sz val="11.0"/>
      <color theme="1"/>
      <name val="Cambria"/>
    </font>
    <font>
      <sz val="11.0"/>
      <color theme="1"/>
      <name val="Cambria"/>
    </font>
    <font>
      <sz val="11.0"/>
      <color theme="1"/>
      <name val="Calibri"/>
    </font>
    <font>
      <sz val="11.0"/>
      <color rgb="FF212121"/>
      <name val="Cambria"/>
    </font>
    <font>
      <sz val="11.0"/>
      <color theme="1"/>
      <name val="Times New Roman"/>
    </font>
    <font>
      <sz val="12.0"/>
      <color theme="1"/>
      <name val="Times New Roman"/>
    </font>
    <font>
      <b/>
      <sz val="16.0"/>
      <color rgb="FFFFFFFF"/>
      <name val="Arial"/>
    </font>
    <font>
      <b/>
      <color rgb="FFFFFFFF"/>
      <name val="Arial"/>
      <scheme val="minor"/>
    </font>
    <font>
      <b/>
      <sz val="12.0"/>
      <color theme="0"/>
      <name val="Arial"/>
      <scheme val="minor"/>
    </font>
    <font>
      <color theme="1"/>
      <name val="Arial"/>
      <scheme val="minor"/>
    </font>
    <font>
      <color rgb="FFFFFFFF"/>
      <name val="Arial"/>
    </font>
    <font>
      <sz val="11.0"/>
      <color rgb="FFFFFFFF"/>
      <name val="Calibri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b/>
      <sz val="8.0"/>
      <color rgb="FFCC0000"/>
      <name val="Arial"/>
    </font>
    <font>
      <sz val="11.0"/>
      <color rgb="FF000000"/>
      <name val="Cambria"/>
    </font>
    <font>
      <color rgb="FF000000"/>
      <name val="Arial"/>
      <scheme val="minor"/>
    </font>
    <font>
      <sz val="8.0"/>
      <color theme="1"/>
      <name val="Arial"/>
    </font>
    <font>
      <b/>
      <sz val="14.0"/>
      <color rgb="FF1F1F1F"/>
      <name val="&quot;Times New Roman&quot;"/>
    </font>
    <font>
      <b/>
      <color rgb="FF85200C"/>
      <name val="Arial"/>
    </font>
    <font>
      <b/>
      <sz val="8.0"/>
      <color rgb="FFCC0000"/>
      <name val="Arial"/>
      <scheme val="minor"/>
    </font>
    <font>
      <b/>
      <sz val="16.0"/>
      <color rgb="FF1F1F1F"/>
      <name val="&quot;Calibri&quot;"/>
    </font>
    <font>
      <b/>
      <color rgb="FF990000"/>
      <name val="Arial"/>
    </font>
    <font>
      <b/>
      <color rgb="FFCC0000"/>
      <name val="Arial"/>
    </font>
    <font>
      <sz val="8.0"/>
      <color rgb="FF000000"/>
      <name val="Cambria"/>
    </font>
    <font>
      <color rgb="FF000000"/>
      <name val="Arial"/>
    </font>
    <font>
      <sz val="8.0"/>
      <color theme="1"/>
      <name val="Arial"/>
      <scheme val="minor"/>
    </font>
    <font>
      <sz val="8.0"/>
      <color rgb="FF000000"/>
      <name val="Arial"/>
      <scheme val="minor"/>
    </font>
    <font>
      <b/>
      <sz val="22.0"/>
      <color rgb="FF1E40AF"/>
      <name val="Arial"/>
    </font>
    <font>
      <b/>
      <sz val="14.0"/>
      <color rgb="FFB45309"/>
      <name val="Arial"/>
    </font>
    <font>
      <b/>
      <sz val="16.0"/>
      <color rgb="FFDC2626"/>
      <name val="Arial"/>
    </font>
    <font>
      <b/>
      <sz val="14.0"/>
      <color rgb="FFD97706"/>
      <name val="Arial"/>
    </font>
    <font>
      <b/>
      <sz val="14.0"/>
      <color rgb="FFEF4444"/>
      <name val="Arial"/>
    </font>
    <font>
      <b/>
      <sz val="14.0"/>
      <color rgb="FF7C3AED"/>
      <name val="Arial"/>
    </font>
    <font>
      <b/>
      <sz val="14.0"/>
      <color rgb="FF059669"/>
      <name val="Arial"/>
    </font>
    <font>
      <color theme="1"/>
      <name val="Courier New"/>
    </font>
    <font>
      <b/>
      <sz val="12.0"/>
      <color rgb="FF3B82F6"/>
      <name val="Arial"/>
    </font>
    <font>
      <b/>
      <sz val="12.0"/>
      <color rgb="FFDC2626"/>
      <name val="Arial"/>
    </font>
    <font>
      <b/>
      <color rgb="FFF59E0B"/>
      <name val="Arial"/>
    </font>
    <font>
      <b/>
      <color rgb="FFEF4444"/>
      <name val="Arial"/>
    </font>
    <font>
      <b/>
      <color rgb="FF8B5CF6"/>
      <name val="Arial"/>
    </font>
    <font>
      <b/>
      <color rgb="FF059669"/>
      <name val="Arial"/>
    </font>
    <font>
      <b/>
      <sz val="10.0"/>
      <color rgb="FFFFFFFF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2E5077"/>
        <bgColor rgb="FF2E5077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EDE9FE"/>
        <bgColor rgb="FFEDE9FE"/>
      </patternFill>
    </fill>
    <fill>
      <patternFill patternType="solid">
        <fgColor rgb="FFDC2626"/>
        <bgColor rgb="FFDC2626"/>
      </patternFill>
    </fill>
    <fill>
      <patternFill patternType="solid">
        <fgColor rgb="FFFECACA"/>
        <bgColor rgb="FFFECACA"/>
      </patternFill>
    </fill>
    <fill>
      <patternFill patternType="solid">
        <fgColor rgb="FFFFFFFF"/>
        <bgColor rgb="FFFFFFFF"/>
      </patternFill>
    </fill>
    <fill>
      <patternFill patternType="solid">
        <fgColor rgb="FF7C3AED"/>
        <bgColor rgb="FF7C3AED"/>
      </patternFill>
    </fill>
    <fill>
      <patternFill patternType="solid">
        <fgColor rgb="FFCBD5E1"/>
        <bgColor rgb="FFCBD5E1"/>
      </patternFill>
    </fill>
    <fill>
      <patternFill patternType="solid">
        <fgColor rgb="FFF5F3FF"/>
        <bgColor rgb="FFF5F3FF"/>
      </patternFill>
    </fill>
    <fill>
      <patternFill patternType="solid">
        <fgColor rgb="FFF59E0B"/>
        <bgColor rgb="FFF59E0B"/>
      </patternFill>
    </fill>
    <fill>
      <patternFill patternType="solid">
        <fgColor rgb="FF0B5394"/>
        <bgColor rgb="FF0B5394"/>
      </patternFill>
    </fill>
    <fill>
      <patternFill patternType="solid">
        <fgColor rgb="FF4A86E8"/>
        <bgColor rgb="FF4A86E8"/>
      </patternFill>
    </fill>
    <fill>
      <patternFill patternType="solid">
        <fgColor rgb="FF1C4587"/>
        <bgColor rgb="FF1C4587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FAFE"/>
        <bgColor rgb="FFCFFAFE"/>
      </patternFill>
    </fill>
    <fill>
      <patternFill patternType="solid">
        <fgColor rgb="FFFFFF00"/>
        <bgColor rgb="FFFFFF00"/>
      </patternFill>
    </fill>
    <fill>
      <patternFill patternType="solid">
        <fgColor rgb="FF3B82F6"/>
        <bgColor rgb="FF3B82F6"/>
      </patternFill>
    </fill>
    <fill>
      <patternFill patternType="solid">
        <fgColor rgb="FFEFF6FF"/>
        <bgColor rgb="FFEFF6FF"/>
      </patternFill>
    </fill>
    <fill>
      <patternFill patternType="solid">
        <fgColor rgb="FFFEF2F2"/>
        <bgColor rgb="FFFEF2F2"/>
      </patternFill>
    </fill>
    <fill>
      <patternFill patternType="solid">
        <fgColor rgb="FFFFFBEB"/>
        <bgColor rgb="FFFFFBEB"/>
      </patternFill>
    </fill>
    <fill>
      <patternFill patternType="solid">
        <fgColor rgb="FFECFDF5"/>
        <bgColor rgb="FFECFDF5"/>
      </patternFill>
    </fill>
    <fill>
      <patternFill patternType="solid">
        <fgColor rgb="FF059669"/>
        <bgColor rgb="FF059669"/>
      </patternFill>
    </fill>
    <fill>
      <patternFill patternType="solid">
        <fgColor rgb="FF0891B2"/>
        <bgColor rgb="FF0891B2"/>
      </patternFill>
    </fill>
    <fill>
      <patternFill patternType="solid">
        <fgColor rgb="FFF8FAFC"/>
        <bgColor rgb="FFF8FAFC"/>
      </patternFill>
    </fill>
    <fill>
      <patternFill patternType="solid">
        <fgColor rgb="FF6366F1"/>
        <bgColor rgb="FF6366F1"/>
      </patternFill>
    </fill>
    <fill>
      <patternFill patternType="solid">
        <fgColor rgb="FFF0FDF4"/>
        <bgColor rgb="FFF0FDF4"/>
      </patternFill>
    </fill>
  </fills>
  <borders count="48">
    <border/>
    <border>
      <left style="medium">
        <color rgb="FF1E3A5F"/>
      </left>
      <top style="medium">
        <color rgb="FF1E3A5F"/>
      </top>
      <bottom style="medium">
        <color rgb="FF1E3A5F"/>
      </bottom>
    </border>
    <border>
      <top style="medium">
        <color rgb="FF1E3A5F"/>
      </top>
      <bottom style="medium">
        <color rgb="FF1E3A5F"/>
      </bottom>
    </border>
    <border>
      <right style="medium">
        <color rgb="FF1E3A5F"/>
      </right>
      <top style="medium">
        <color rgb="FF1E3A5F"/>
      </top>
      <bottom style="medium">
        <color rgb="FF1E3A5F"/>
      </bottom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</border>
    <border>
      <left style="medium">
        <color rgb="FFDC2626"/>
      </left>
      <top style="medium">
        <color rgb="FFDC2626"/>
      </top>
      <bottom style="medium">
        <color rgb="FFDC2626"/>
      </bottom>
    </border>
    <border>
      <top style="medium">
        <color rgb="FFDC2626"/>
      </top>
      <bottom style="medium">
        <color rgb="FFDC2626"/>
      </bottom>
    </border>
    <border>
      <right style="medium">
        <color rgb="FFDC2626"/>
      </right>
      <top style="medium">
        <color rgb="FFDC2626"/>
      </top>
      <bottom style="medium">
        <color rgb="FFDC2626"/>
      </bottom>
    </border>
    <border>
      <left style="medium">
        <color rgb="FFDC2626"/>
      </left>
      <top style="medium">
        <color rgb="FFDC2626"/>
      </top>
    </border>
    <border>
      <right style="medium">
        <color rgb="FFDC2626"/>
      </right>
      <top style="medium">
        <color rgb="FFDC2626"/>
      </top>
    </border>
    <border>
      <left style="medium">
        <color rgb="FFDC2626"/>
      </left>
      <right style="medium">
        <color rgb="FFDC2626"/>
      </right>
      <top style="medium">
        <color rgb="FFDC2626"/>
      </top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7C3AED"/>
      </left>
      <top style="thin">
        <color rgb="FF7C3AED"/>
      </top>
      <bottom style="thin">
        <color rgb="FF7C3AED"/>
      </bottom>
    </border>
    <border>
      <top style="thin">
        <color rgb="FF7C3AED"/>
      </top>
      <bottom style="thin">
        <color rgb="FF7C3AED"/>
      </bottom>
    </border>
    <border>
      <right style="thin">
        <color rgb="FF7C3AED"/>
      </right>
      <top style="thin">
        <color rgb="FF7C3AED"/>
      </top>
      <bottom style="thin">
        <color rgb="FF7C3AED"/>
      </bottom>
    </border>
    <border>
      <left style="thin">
        <color rgb="FF2E5077"/>
      </left>
      <top style="thin">
        <color rgb="FF2E5077"/>
      </top>
      <bottom style="thin">
        <color rgb="FF2E5077"/>
      </bottom>
    </border>
    <border>
      <top style="thin">
        <color rgb="FF2E5077"/>
      </top>
      <bottom style="thin">
        <color rgb="FF2E5077"/>
      </bottom>
    </border>
    <border>
      <right style="thin">
        <color rgb="FF2E5077"/>
      </right>
      <top style="thin">
        <color rgb="FF2E5077"/>
      </top>
      <bottom style="thin">
        <color rgb="FF2E5077"/>
      </bottom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</border>
    <border>
      <left style="thin">
        <color rgb="FF2E5077"/>
      </left>
      <right style="thin">
        <color rgb="FF2E5077"/>
      </right>
      <top style="thin">
        <color rgb="FF2E5077"/>
      </top>
      <bottom style="thin">
        <color rgb="FF2E5077"/>
      </bottom>
    </border>
    <border>
      <left style="thin">
        <color rgb="FF2E5077"/>
      </left>
      <right style="thin">
        <color rgb="FF2E5077"/>
      </right>
      <top style="thin">
        <color rgb="FF2E5077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F59E0B"/>
      </left>
      <top style="thin">
        <color rgb="FFF59E0B"/>
      </top>
      <bottom style="thin">
        <color rgb="FFF59E0B"/>
      </bottom>
    </border>
    <border>
      <top style="thin">
        <color rgb="FFF59E0B"/>
      </top>
      <bottom style="thin">
        <color rgb="FFF59E0B"/>
      </bottom>
    </border>
    <border>
      <right style="thin">
        <color rgb="FFF59E0B"/>
      </right>
      <top style="thin">
        <color rgb="FFF59E0B"/>
      </top>
      <bottom style="thin">
        <color rgb="FFF59E0B"/>
      </bottom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A86E8"/>
      </right>
      <top style="thin">
        <color rgb="FF4A86E8"/>
      </top>
      <bottom style="thin">
        <color rgb="FF4A86E8"/>
      </bottom>
    </border>
    <border>
      <right style="thin">
        <color rgb="FF4A86E8"/>
      </right>
      <top style="thin">
        <color rgb="FF4A86E8"/>
      </top>
    </border>
    <border>
      <left style="medium">
        <color rgb="FF3B82F6"/>
      </left>
      <top style="medium">
        <color rgb="FF3B82F6"/>
      </top>
    </border>
    <border>
      <left style="medium">
        <color rgb="FFF59E0B"/>
      </left>
      <top style="medium">
        <color rgb="FFF59E0B"/>
      </top>
    </border>
    <border>
      <left style="medium">
        <color rgb="FFEF4444"/>
      </left>
      <top style="medium">
        <color rgb="FFEF4444"/>
      </top>
    </border>
    <border>
      <left style="medium">
        <color rgb="FF8B5CF6"/>
      </left>
      <right style="medium">
        <color rgb="FF8B5CF6"/>
      </right>
      <top style="medium">
        <color rgb="FF8B5CF6"/>
      </top>
    </border>
    <border>
      <left style="medium">
        <color rgb="FF10B981"/>
      </left>
      <top style="medium">
        <color rgb="FF10B981"/>
      </top>
    </border>
    <border>
      <left style="medium">
        <color rgb="FF3B82F6"/>
      </left>
      <right style="medium">
        <color rgb="FF3B82F6"/>
      </right>
      <top style="medium">
        <color rgb="FF3B82F6"/>
      </top>
    </border>
    <border>
      <left style="medium">
        <color rgb="FF3B82F6"/>
      </left>
      <bottom style="medium">
        <color rgb="FF3B82F6"/>
      </bottom>
    </border>
    <border>
      <left style="medium">
        <color rgb="FFF59E0B"/>
      </left>
      <bottom style="medium">
        <color rgb="FFF59E0B"/>
      </bottom>
    </border>
    <border>
      <left style="medium">
        <color rgb="FFDC2626"/>
      </left>
      <bottom style="medium">
        <color rgb="FFDC2626"/>
      </bottom>
    </border>
    <border>
      <right style="medium">
        <color rgb="FFDC2626"/>
      </right>
      <bottom style="medium">
        <color rgb="FFDC2626"/>
      </bottom>
    </border>
    <border>
      <left style="medium">
        <color rgb="FFEF4444"/>
      </left>
      <bottom style="medium">
        <color rgb="FFEF4444"/>
      </bottom>
    </border>
    <border>
      <left style="medium">
        <color rgb="FF8B5CF6"/>
      </left>
      <right style="medium">
        <color rgb="FF8B5CF6"/>
      </right>
      <bottom style="medium">
        <color rgb="FF8B5CF6"/>
      </bottom>
    </border>
    <border>
      <left style="medium">
        <color rgb="FF10B981"/>
      </left>
      <bottom style="medium">
        <color rgb="FF10B981"/>
      </bottom>
    </border>
    <border>
      <left style="medium">
        <color rgb="FF3B82F6"/>
      </left>
      <right style="medium">
        <color rgb="FF3B82F6"/>
      </right>
      <bottom style="medium">
        <color rgb="FF3B82F6"/>
      </bottom>
    </border>
    <border>
      <left style="thin">
        <color rgb="FF059669"/>
      </left>
      <top style="thin">
        <color rgb="FF059669"/>
      </top>
      <bottom style="thin">
        <color rgb="FF059669"/>
      </bottom>
    </border>
    <border>
      <right style="thin">
        <color rgb="FF059669"/>
      </right>
      <top style="thin">
        <color rgb="FF059669"/>
      </top>
      <bottom style="thin">
        <color rgb="FF059669"/>
      </bottom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4" fontId="3" numFmtId="0" xfId="0" applyFill="1" applyFont="1"/>
    <xf borderId="0" fillId="4" fontId="4" numFmtId="164" xfId="0" applyFont="1" applyNumberFormat="1"/>
    <xf borderId="0" fillId="4" fontId="4" numFmtId="0" xfId="0" applyFont="1"/>
    <xf borderId="0" fillId="5" fontId="4" numFmtId="0" xfId="0" applyFill="1" applyFont="1"/>
    <xf borderId="1" fillId="2" fontId="5" numFmtId="0" xfId="0" applyAlignment="1" applyBorder="1" applyFont="1">
      <alignment horizontal="center"/>
    </xf>
    <xf borderId="2" fillId="0" fontId="6" numFmtId="0" xfId="0" applyBorder="1" applyFont="1"/>
    <xf borderId="3" fillId="0" fontId="6" numFmtId="0" xfId="0" applyBorder="1" applyFont="1"/>
    <xf borderId="1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/>
    </xf>
    <xf borderId="1" fillId="6" fontId="7" numFmtId="0" xfId="0" applyAlignment="1" applyBorder="1" applyFill="1" applyFont="1">
      <alignment horizontal="center"/>
    </xf>
    <xf borderId="1" fillId="7" fontId="8" numFmtId="0" xfId="0" applyAlignment="1" applyBorder="1" applyFill="1" applyFont="1">
      <alignment horizontal="center"/>
    </xf>
    <xf borderId="1" fillId="8" fontId="9" numFmtId="0" xfId="0" applyAlignment="1" applyBorder="1" applyFill="1" applyFont="1">
      <alignment horizontal="center"/>
    </xf>
    <xf borderId="1" fillId="9" fontId="10" numFmtId="0" xfId="0" applyAlignment="1" applyBorder="1" applyFill="1" applyFont="1">
      <alignment horizontal="center"/>
    </xf>
    <xf borderId="4" fillId="10" fontId="11" numFmtId="0" xfId="0" applyAlignment="1" applyBorder="1" applyFill="1" applyFont="1">
      <alignment horizontal="center"/>
    </xf>
    <xf borderId="4" fillId="10" fontId="12" numFmtId="0" xfId="0" applyAlignment="1" applyBorder="1" applyFont="1">
      <alignment horizontal="center"/>
    </xf>
    <xf borderId="1" fillId="10" fontId="12" numFmtId="0" xfId="0" applyAlignment="1" applyBorder="1" applyFont="1">
      <alignment horizontal="center"/>
    </xf>
    <xf borderId="5" fillId="11" fontId="5" numFmtId="0" xfId="0" applyAlignment="1" applyBorder="1" applyFill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8" fillId="12" fontId="3" numFmtId="0" xfId="0" applyAlignment="1" applyBorder="1" applyFill="1" applyFont="1">
      <alignment horizontal="center"/>
    </xf>
    <xf borderId="9" fillId="0" fontId="6" numFmtId="0" xfId="0" applyBorder="1" applyFont="1"/>
    <xf borderId="10" fillId="8" fontId="3" numFmtId="0" xfId="0" applyAlignment="1" applyBorder="1" applyFont="1">
      <alignment horizontal="center"/>
    </xf>
    <xf borderId="8" fillId="8" fontId="3" numFmtId="0" xfId="0" applyAlignment="1" applyBorder="1" applyFont="1">
      <alignment horizontal="center"/>
    </xf>
    <xf borderId="11" fillId="13" fontId="13" numFmtId="165" xfId="0" applyAlignment="1" applyBorder="1" applyFill="1" applyFont="1" applyNumberFormat="1">
      <alignment horizontal="center"/>
    </xf>
    <xf borderId="12" fillId="0" fontId="6" numFmtId="0" xfId="0" applyBorder="1" applyFont="1"/>
    <xf borderId="11" fillId="13" fontId="14" numFmtId="165" xfId="0" applyAlignment="1" applyBorder="1" applyFont="1" applyNumberFormat="1">
      <alignment horizontal="center"/>
    </xf>
    <xf borderId="13" fillId="0" fontId="14" numFmtId="165" xfId="0" applyAlignment="1" applyBorder="1" applyFont="1" applyNumberFormat="1">
      <alignment horizontal="center"/>
    </xf>
    <xf borderId="11" fillId="0" fontId="14" numFmtId="165" xfId="0" applyAlignment="1" applyBorder="1" applyFont="1" applyNumberFormat="1">
      <alignment horizontal="center"/>
    </xf>
    <xf borderId="11" fillId="8" fontId="15" numFmtId="165" xfId="0" applyAlignment="1" applyBorder="1" applyFont="1" applyNumberFormat="1">
      <alignment horizontal="center"/>
    </xf>
    <xf borderId="0" fillId="5" fontId="16" numFmtId="0" xfId="0" applyFont="1"/>
    <xf borderId="14" fillId="14" fontId="17" numFmtId="0" xfId="0" applyAlignment="1" applyBorder="1" applyFill="1" applyFont="1">
      <alignment horizontal="center"/>
    </xf>
    <xf borderId="15" fillId="0" fontId="6" numFmtId="0" xfId="0" applyBorder="1" applyFont="1"/>
    <xf borderId="16" fillId="0" fontId="6" numFmtId="0" xfId="0" applyBorder="1" applyFont="1"/>
    <xf borderId="17" fillId="3" fontId="17" numFmtId="0" xfId="0" applyAlignment="1" applyBorder="1" applyFont="1">
      <alignment horizontal="center"/>
    </xf>
    <xf borderId="18" fillId="0" fontId="6" numFmtId="0" xfId="0" applyBorder="1" applyFont="1"/>
    <xf borderId="19" fillId="0" fontId="6" numFmtId="0" xfId="0" applyBorder="1" applyFont="1"/>
    <xf borderId="20" fillId="10" fontId="3" numFmtId="0" xfId="0" applyBorder="1" applyFont="1"/>
    <xf borderId="20" fillId="10" fontId="3" numFmtId="0" xfId="0" applyAlignment="1" applyBorder="1" applyFont="1">
      <alignment horizontal="center"/>
    </xf>
    <xf borderId="21" fillId="15" fontId="3" numFmtId="0" xfId="0" applyBorder="1" applyFill="1" applyFont="1"/>
    <xf borderId="21" fillId="15" fontId="3" numFmtId="0" xfId="0" applyAlignment="1" applyBorder="1" applyFont="1">
      <alignment horizontal="center"/>
    </xf>
    <xf borderId="20" fillId="13" fontId="4" numFmtId="0" xfId="0" applyBorder="1" applyFont="1"/>
    <xf borderId="20" fillId="13" fontId="4" numFmtId="0" xfId="0" applyAlignment="1" applyBorder="1" applyFont="1">
      <alignment horizontal="center"/>
    </xf>
    <xf borderId="20" fillId="13" fontId="4" numFmtId="165" xfId="0" applyAlignment="1" applyBorder="1" applyFont="1" applyNumberFormat="1">
      <alignment horizontal="right"/>
    </xf>
    <xf borderId="21" fillId="13" fontId="4" numFmtId="0" xfId="0" applyBorder="1" applyFont="1"/>
    <xf borderId="21" fillId="13" fontId="4" numFmtId="0" xfId="0" applyAlignment="1" applyBorder="1" applyFont="1">
      <alignment horizontal="center"/>
    </xf>
    <xf borderId="21" fillId="13" fontId="4" numFmtId="165" xfId="0" applyBorder="1" applyFont="1" applyNumberFormat="1"/>
    <xf borderId="20" fillId="16" fontId="4" numFmtId="0" xfId="0" applyBorder="1" applyFill="1" applyFont="1"/>
    <xf borderId="20" fillId="16" fontId="4" numFmtId="0" xfId="0" applyAlignment="1" applyBorder="1" applyFont="1">
      <alignment horizontal="center"/>
    </xf>
    <xf borderId="20" fillId="16" fontId="4" numFmtId="165" xfId="0" applyAlignment="1" applyBorder="1" applyFont="1" applyNumberFormat="1">
      <alignment horizontal="right"/>
    </xf>
    <xf borderId="21" fillId="5" fontId="4" numFmtId="0" xfId="0" applyBorder="1" applyFont="1"/>
    <xf borderId="21" fillId="5" fontId="4" numFmtId="0" xfId="0" applyAlignment="1" applyBorder="1" applyFont="1">
      <alignment horizontal="center"/>
    </xf>
    <xf borderId="21" fillId="5" fontId="4" numFmtId="165" xfId="0" applyBorder="1" applyFont="1" applyNumberFormat="1"/>
    <xf borderId="20" fillId="13" fontId="4" numFmtId="0" xfId="0" applyAlignment="1" applyBorder="1" applyFont="1">
      <alignment horizontal="center" readingOrder="0"/>
    </xf>
    <xf borderId="20" fillId="13" fontId="4" numFmtId="0" xfId="0" applyAlignment="1" applyBorder="1" applyFont="1">
      <alignment readingOrder="0"/>
    </xf>
    <xf borderId="22" fillId="5" fontId="4" numFmtId="0" xfId="0" applyBorder="1" applyFont="1"/>
    <xf borderId="22" fillId="5" fontId="4" numFmtId="0" xfId="0" applyAlignment="1" applyBorder="1" applyFont="1">
      <alignment horizontal="center"/>
    </xf>
    <xf borderId="22" fillId="5" fontId="4" numFmtId="165" xfId="0" applyBorder="1" applyFont="1" applyNumberFormat="1"/>
    <xf borderId="23" fillId="13" fontId="4" numFmtId="0" xfId="0" applyBorder="1" applyFont="1"/>
    <xf borderId="23" fillId="13" fontId="4" numFmtId="0" xfId="0" applyAlignment="1" applyBorder="1" applyFont="1">
      <alignment horizontal="center"/>
    </xf>
    <xf borderId="23" fillId="13" fontId="4" numFmtId="165" xfId="0" applyBorder="1" applyFont="1" applyNumberFormat="1"/>
    <xf borderId="24" fillId="17" fontId="17" numFmtId="0" xfId="0" applyAlignment="1" applyBorder="1" applyFill="1" applyFont="1">
      <alignment horizontal="center"/>
    </xf>
    <xf borderId="25" fillId="0" fontId="6" numFmtId="0" xfId="0" applyBorder="1" applyFont="1"/>
    <xf borderId="26" fillId="0" fontId="6" numFmtId="0" xfId="0" applyBorder="1" applyFont="1"/>
    <xf borderId="24" fillId="7" fontId="3" numFmtId="0" xfId="0" applyBorder="1" applyFont="1"/>
    <xf borderId="24" fillId="9" fontId="3" numFmtId="0" xfId="0" applyBorder="1" applyFont="1"/>
    <xf borderId="24" fillId="6" fontId="3" numFmtId="0" xfId="0" applyBorder="1" applyFont="1"/>
    <xf borderId="24" fillId="10" fontId="3" numFmtId="0" xfId="0" applyBorder="1" applyFont="1"/>
    <xf borderId="27" fillId="9" fontId="3" numFmtId="0" xfId="0" applyBorder="1" applyFont="1"/>
    <xf borderId="24" fillId="13" fontId="18" numFmtId="0" xfId="0" applyAlignment="1" applyBorder="1" applyFont="1">
      <alignment horizontal="center"/>
    </xf>
    <xf borderId="24" fillId="13" fontId="19" numFmtId="0" xfId="0" applyAlignment="1" applyBorder="1" applyFont="1">
      <alignment horizontal="center"/>
    </xf>
    <xf borderId="24" fillId="13" fontId="20" numFmtId="0" xfId="0" applyAlignment="1" applyBorder="1" applyFont="1">
      <alignment horizontal="center"/>
    </xf>
    <xf borderId="24" fillId="13" fontId="21" numFmtId="0" xfId="0" applyAlignment="1" applyBorder="1" applyFont="1">
      <alignment horizontal="center"/>
    </xf>
    <xf borderId="27" fillId="13" fontId="19" numFmtId="0" xfId="0" applyAlignment="1" applyBorder="1" applyFont="1">
      <alignment horizontal="center"/>
    </xf>
    <xf borderId="0" fillId="2" fontId="22" numFmtId="0" xfId="0" applyFont="1"/>
    <xf borderId="0" fillId="2" fontId="22" numFmtId="14" xfId="0" applyFont="1" applyNumberFormat="1"/>
    <xf borderId="0" fillId="13" fontId="22" numFmtId="14" xfId="0" applyFont="1" applyNumberFormat="1"/>
    <xf borderId="0" fillId="13" fontId="22" numFmtId="0" xfId="0" applyFont="1"/>
    <xf borderId="28" fillId="0" fontId="23" numFmtId="0" xfId="0" applyAlignment="1" applyBorder="1" applyFont="1">
      <alignment horizontal="left" vertical="bottom"/>
    </xf>
    <xf borderId="28" fillId="0" fontId="23" numFmtId="0" xfId="0" applyAlignment="1" applyBorder="1" applyFont="1">
      <alignment horizontal="left" shrinkToFit="0" vertical="bottom" wrapText="1"/>
    </xf>
    <xf borderId="28" fillId="0" fontId="23" numFmtId="0" xfId="0" applyAlignment="1" applyBorder="1" applyFont="1">
      <alignment horizontal="left"/>
    </xf>
    <xf borderId="29" fillId="0" fontId="23" numFmtId="0" xfId="0" applyAlignment="1" applyBorder="1" applyFont="1">
      <alignment horizontal="left" vertical="bottom"/>
    </xf>
    <xf borderId="28" fillId="0" fontId="24" numFmtId="0" xfId="0" applyAlignment="1" applyBorder="1" applyFont="1">
      <alignment vertical="bottom"/>
    </xf>
    <xf borderId="28" fillId="0" fontId="24" numFmtId="166" xfId="0" applyAlignment="1" applyBorder="1" applyFont="1" applyNumberFormat="1">
      <alignment vertical="bottom"/>
    </xf>
    <xf borderId="28" fillId="0" fontId="24" numFmtId="0" xfId="0" applyAlignment="1" applyBorder="1" applyFont="1">
      <alignment shrinkToFit="0" vertical="bottom" wrapText="1"/>
    </xf>
    <xf borderId="28" fillId="0" fontId="25" numFmtId="0" xfId="0" applyAlignment="1" applyBorder="1" applyFont="1">
      <alignment vertical="bottom"/>
    </xf>
    <xf borderId="28" fillId="0" fontId="24" numFmtId="167" xfId="0" applyAlignment="1" applyBorder="1" applyFont="1" applyNumberFormat="1">
      <alignment vertical="bottom"/>
    </xf>
    <xf borderId="29" fillId="0" fontId="24" numFmtId="0" xfId="0" applyAlignment="1" applyBorder="1" applyFont="1">
      <alignment shrinkToFit="0" vertical="bottom" wrapText="1"/>
    </xf>
    <xf borderId="28" fillId="0" fontId="26" numFmtId="0" xfId="0" applyAlignment="1" applyBorder="1" applyFont="1">
      <alignment vertical="bottom"/>
    </xf>
    <xf borderId="28" fillId="0" fontId="24" numFmtId="168" xfId="0" applyAlignment="1" applyBorder="1" applyFont="1" applyNumberFormat="1">
      <alignment vertical="bottom"/>
    </xf>
    <xf borderId="28" fillId="0" fontId="25" numFmtId="167" xfId="0" applyAlignment="1" applyBorder="1" applyFont="1" applyNumberFormat="1">
      <alignment vertical="bottom"/>
    </xf>
    <xf borderId="29" fillId="0" fontId="24" numFmtId="0" xfId="0" applyAlignment="1" applyBorder="1" applyFont="1">
      <alignment vertical="bottom"/>
    </xf>
    <xf borderId="28" fillId="0" fontId="27" numFmtId="169" xfId="0" applyAlignment="1" applyBorder="1" applyFont="1" applyNumberFormat="1">
      <alignment vertical="bottom"/>
    </xf>
    <xf borderId="28" fillId="0" fontId="28" numFmtId="169" xfId="0" applyAlignment="1" applyBorder="1" applyFont="1" applyNumberFormat="1">
      <alignment vertical="bottom"/>
    </xf>
    <xf borderId="28" fillId="0" fontId="24" numFmtId="0" xfId="0" applyAlignment="1" applyBorder="1" applyFont="1">
      <alignment shrinkToFit="0" wrapText="1"/>
    </xf>
    <xf borderId="0" fillId="0" fontId="24" numFmtId="167" xfId="0" applyAlignment="1" applyFont="1" applyNumberFormat="1">
      <alignment vertical="bottom"/>
    </xf>
    <xf borderId="28" fillId="0" fontId="25" numFmtId="166" xfId="0" applyAlignment="1" applyBorder="1" applyFont="1" applyNumberFormat="1">
      <alignment vertical="bottom"/>
    </xf>
    <xf borderId="28" fillId="0" fontId="24" numFmtId="169" xfId="0" applyAlignment="1" applyBorder="1" applyFont="1" applyNumberFormat="1">
      <alignment vertical="bottom"/>
    </xf>
    <xf borderId="0" fillId="2" fontId="29" numFmtId="0" xfId="0" applyAlignment="1" applyFont="1">
      <alignment horizontal="center"/>
    </xf>
    <xf borderId="0" fillId="18" fontId="30" numFmtId="0" xfId="0" applyAlignment="1" applyFill="1" applyFont="1">
      <alignment readingOrder="0"/>
    </xf>
    <xf borderId="0" fillId="19" fontId="31" numFmtId="0" xfId="0" applyAlignment="1" applyFill="1" applyFont="1">
      <alignment readingOrder="0"/>
    </xf>
    <xf borderId="0" fillId="0" fontId="32" numFmtId="0" xfId="0" applyAlignment="1" applyFont="1">
      <alignment readingOrder="0"/>
    </xf>
    <xf borderId="0" fillId="20" fontId="33" numFmtId="0" xfId="0" applyAlignment="1" applyFill="1" applyFont="1">
      <alignment readingOrder="0"/>
    </xf>
    <xf borderId="0" fillId="20" fontId="33" numFmtId="0" xfId="0" applyFont="1"/>
    <xf borderId="28" fillId="20" fontId="34" numFmtId="0" xfId="0" applyAlignment="1" applyBorder="1" applyFont="1">
      <alignment horizontal="left" readingOrder="0" shrinkToFit="0" vertical="top" wrapText="0"/>
    </xf>
    <xf borderId="0" fillId="19" fontId="35" numFmtId="0" xfId="0" applyAlignment="1" applyFont="1">
      <alignment readingOrder="0"/>
    </xf>
    <xf borderId="0" fillId="20" fontId="36" numFmtId="0" xfId="0" applyAlignment="1" applyFont="1">
      <alignment readingOrder="0"/>
    </xf>
    <xf borderId="28" fillId="0" fontId="4" numFmtId="0" xfId="0" applyAlignment="1" applyBorder="1" applyFont="1">
      <alignment readingOrder="0"/>
    </xf>
    <xf borderId="28" fillId="0" fontId="4" numFmtId="0" xfId="0" applyBorder="1" applyFont="1"/>
    <xf borderId="28" fillId="0" fontId="4" numFmtId="165" xfId="0" applyAlignment="1" applyBorder="1" applyFont="1" applyNumberFormat="1">
      <alignment readingOrder="0"/>
    </xf>
    <xf borderId="28" fillId="0" fontId="4" numFmtId="165" xfId="0" applyBorder="1" applyFont="1" applyNumberFormat="1"/>
    <xf borderId="0" fillId="0" fontId="4" numFmtId="165" xfId="0" applyFont="1" applyNumberFormat="1"/>
    <xf borderId="28" fillId="21" fontId="37" numFmtId="0" xfId="0" applyAlignment="1" applyBorder="1" applyFill="1" applyFont="1">
      <alignment readingOrder="0" shrinkToFit="0" wrapText="1"/>
    </xf>
    <xf borderId="28" fillId="0" fontId="4" numFmtId="0" xfId="0" applyAlignment="1" applyBorder="1" applyFont="1">
      <alignment shrinkToFit="0" wrapText="1"/>
    </xf>
    <xf borderId="28" fillId="0" fontId="38" numFmtId="0" xfId="0" applyAlignment="1" applyBorder="1" applyFont="1">
      <alignment readingOrder="0" vertical="bottom"/>
    </xf>
    <xf borderId="28" fillId="22" fontId="39" numFmtId="0" xfId="0" applyAlignment="1" applyBorder="1" applyFill="1" applyFont="1">
      <alignment readingOrder="0"/>
    </xf>
    <xf borderId="28" fillId="0" fontId="4" numFmtId="170" xfId="0" applyBorder="1" applyFont="1" applyNumberFormat="1"/>
    <xf borderId="28" fillId="0" fontId="40" numFmtId="0" xfId="0" applyAlignment="1" applyBorder="1" applyFont="1">
      <alignment readingOrder="0"/>
    </xf>
    <xf borderId="28" fillId="0" fontId="38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  <xf borderId="30" fillId="0" fontId="38" numFmtId="0" xfId="0" applyAlignment="1" applyBorder="1" applyFont="1">
      <alignment readingOrder="0" shrinkToFit="0" vertical="bottom" wrapText="0"/>
    </xf>
    <xf borderId="28" fillId="0" fontId="40" numFmtId="0" xfId="0" applyAlignment="1" applyBorder="1" applyFont="1">
      <alignment readingOrder="0" shrinkToFit="0" wrapText="1"/>
    </xf>
    <xf borderId="28" fillId="22" fontId="39" numFmtId="0" xfId="0" applyBorder="1" applyFont="1"/>
    <xf borderId="28" fillId="0" fontId="4" numFmtId="170" xfId="0" applyAlignment="1" applyBorder="1" applyFont="1" applyNumberFormat="1">
      <alignment readingOrder="0"/>
    </xf>
    <xf borderId="0" fillId="0" fontId="4" numFmtId="0" xfId="0" applyFont="1"/>
    <xf borderId="0" fillId="13" fontId="41" numFmtId="0" xfId="0" applyAlignment="1" applyFont="1">
      <alignment readingOrder="0"/>
    </xf>
    <xf borderId="28" fillId="23" fontId="42" numFmtId="0" xfId="0" applyAlignment="1" applyBorder="1" applyFill="1" applyFont="1">
      <alignment readingOrder="0"/>
    </xf>
    <xf borderId="28" fillId="23" fontId="42" numFmtId="0" xfId="0" applyBorder="1" applyFont="1"/>
    <xf borderId="28" fillId="23" fontId="42" numFmtId="165" xfId="0" applyAlignment="1" applyBorder="1" applyFont="1" applyNumberFormat="1">
      <alignment readingOrder="0"/>
    </xf>
    <xf borderId="28" fillId="23" fontId="42" numFmtId="165" xfId="0" applyBorder="1" applyFont="1" applyNumberFormat="1"/>
    <xf borderId="28" fillId="24" fontId="43" numFmtId="0" xfId="0" applyAlignment="1" applyBorder="1" applyFill="1" applyFont="1">
      <alignment readingOrder="0" shrinkToFit="0" wrapText="1"/>
    </xf>
    <xf borderId="28" fillId="23" fontId="42" numFmtId="0" xfId="0" applyAlignment="1" applyBorder="1" applyFont="1">
      <alignment shrinkToFit="0" wrapText="1"/>
    </xf>
    <xf borderId="28" fillId="0" fontId="38" numFmtId="0" xfId="0" applyAlignment="1" applyBorder="1" applyFont="1">
      <alignment readingOrder="0" shrinkToFit="0" vertical="bottom" wrapText="1"/>
    </xf>
    <xf borderId="28" fillId="0" fontId="4" numFmtId="0" xfId="0" applyAlignment="1" applyBorder="1" applyFont="1">
      <alignment readingOrder="0" shrinkToFit="0" wrapText="1"/>
    </xf>
    <xf borderId="0" fillId="0" fontId="38" numFmtId="0" xfId="0" applyAlignment="1" applyFont="1">
      <alignment readingOrder="0" vertical="bottom"/>
    </xf>
    <xf borderId="0" fillId="13" fontId="44" numFmtId="0" xfId="0" applyAlignment="1" applyFont="1">
      <alignment readingOrder="0"/>
    </xf>
    <xf borderId="28" fillId="23" fontId="37" numFmtId="0" xfId="0" applyAlignment="1" applyBorder="1" applyFont="1">
      <alignment readingOrder="0" shrinkToFit="0" wrapText="1"/>
    </xf>
    <xf borderId="28" fillId="21" fontId="45" numFmtId="0" xfId="0" applyAlignment="1" applyBorder="1" applyFont="1">
      <alignment readingOrder="0"/>
    </xf>
    <xf borderId="28" fillId="21" fontId="45" numFmtId="165" xfId="0" applyAlignment="1" applyBorder="1" applyFont="1" applyNumberFormat="1">
      <alignment readingOrder="0"/>
    </xf>
    <xf borderId="28" fillId="21" fontId="4" numFmtId="0" xfId="0" applyAlignment="1" applyBorder="1" applyFont="1">
      <alignment readingOrder="0"/>
    </xf>
    <xf borderId="28" fillId="21" fontId="46" numFmtId="0" xfId="0" applyAlignment="1" applyBorder="1" applyFont="1">
      <alignment readingOrder="0"/>
    </xf>
    <xf borderId="28" fillId="21" fontId="46" numFmtId="0" xfId="0" applyAlignment="1" applyBorder="1" applyFont="1">
      <alignment readingOrder="0" shrinkToFit="0" wrapText="1"/>
    </xf>
    <xf borderId="28" fillId="21" fontId="45" numFmtId="165" xfId="0" applyBorder="1" applyFont="1" applyNumberFormat="1"/>
    <xf borderId="28" fillId="21" fontId="45" numFmtId="0" xfId="0" applyBorder="1" applyFont="1"/>
    <xf borderId="28" fillId="0" fontId="47" numFmtId="0" xfId="0" applyAlignment="1" applyBorder="1" applyFont="1">
      <alignment readingOrder="0" shrinkToFit="0" vertical="bottom" wrapText="1"/>
    </xf>
    <xf borderId="28" fillId="25" fontId="39" numFmtId="0" xfId="0" applyAlignment="1" applyBorder="1" applyFill="1" applyFont="1">
      <alignment readingOrder="0"/>
    </xf>
    <xf borderId="28" fillId="21" fontId="45" numFmtId="171" xfId="0" applyAlignment="1" applyBorder="1" applyFont="1" applyNumberFormat="1">
      <alignment readingOrder="0"/>
    </xf>
    <xf borderId="28" fillId="22" fontId="48" numFmtId="0" xfId="0" applyAlignment="1" applyBorder="1" applyFont="1">
      <alignment readingOrder="0"/>
    </xf>
    <xf borderId="28" fillId="22" fontId="48" numFmtId="0" xfId="0" applyBorder="1" applyFont="1"/>
    <xf borderId="0" fillId="23" fontId="4" numFmtId="0" xfId="0" applyFont="1"/>
    <xf borderId="0" fillId="0" fontId="4" numFmtId="170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23" fontId="42" numFmtId="0" xfId="0" applyFont="1"/>
    <xf borderId="0" fillId="24" fontId="42" numFmtId="0" xfId="0" applyFont="1"/>
    <xf borderId="0" fillId="23" fontId="42" numFmtId="170" xfId="0" applyAlignment="1" applyFont="1" applyNumberFormat="1">
      <alignment horizontal="right"/>
    </xf>
    <xf borderId="0" fillId="23" fontId="42" numFmtId="165" xfId="0" applyFont="1" applyNumberFormat="1"/>
    <xf borderId="0" fillId="23" fontId="42" numFmtId="0" xfId="0" applyAlignment="1" applyFont="1">
      <alignment readingOrder="0"/>
    </xf>
    <xf borderId="0" fillId="23" fontId="42" numFmtId="0" xfId="0" applyAlignment="1" applyFont="1">
      <alignment readingOrder="0" shrinkToFit="0" wrapText="1"/>
    </xf>
    <xf borderId="0" fillId="23" fontId="4" numFmtId="0" xfId="0" applyAlignment="1" applyFont="1">
      <alignment readingOrder="0"/>
    </xf>
    <xf borderId="0" fillId="0" fontId="49" numFmtId="0" xfId="0" applyAlignment="1" applyFont="1">
      <alignment readingOrder="0"/>
    </xf>
    <xf borderId="0" fillId="0" fontId="4" numFmtId="170" xfId="0" applyFont="1" applyNumberFormat="1"/>
    <xf borderId="0" fillId="0" fontId="4" numFmtId="0" xfId="0" applyAlignment="1" applyFont="1">
      <alignment shrinkToFit="0" wrapText="1"/>
    </xf>
    <xf borderId="0" fillId="24" fontId="49" numFmtId="0" xfId="0" applyAlignment="1" applyFont="1">
      <alignment readingOrder="0"/>
    </xf>
    <xf borderId="0" fillId="24" fontId="4" numFmtId="0" xfId="0" applyAlignment="1" applyFont="1">
      <alignment readingOrder="0"/>
    </xf>
    <xf borderId="0" fillId="9" fontId="4" numFmtId="0" xfId="0" applyAlignment="1" applyFont="1">
      <alignment readingOrder="0"/>
    </xf>
    <xf borderId="0" fillId="9" fontId="4" numFmtId="165" xfId="0" applyAlignment="1" applyFont="1" applyNumberFormat="1">
      <alignment readingOrder="0"/>
    </xf>
    <xf borderId="0" fillId="9" fontId="4" numFmtId="165" xfId="0" applyFont="1" applyNumberFormat="1"/>
    <xf borderId="0" fillId="9" fontId="46" numFmtId="0" xfId="0" applyAlignment="1" applyFont="1">
      <alignment readingOrder="0" shrinkToFit="0" wrapText="1"/>
    </xf>
    <xf borderId="0" fillId="9" fontId="4" numFmtId="0" xfId="0" applyFont="1"/>
    <xf borderId="28" fillId="24" fontId="50" numFmtId="0" xfId="0" applyAlignment="1" applyBorder="1" applyFont="1">
      <alignment readingOrder="0"/>
    </xf>
    <xf borderId="0" fillId="26" fontId="32" numFmtId="0" xfId="0" applyAlignment="1" applyFill="1" applyFont="1">
      <alignment readingOrder="0"/>
    </xf>
    <xf borderId="0" fillId="0" fontId="32" numFmtId="0" xfId="0" applyFont="1"/>
    <xf borderId="0" fillId="27" fontId="5" numFmtId="0" xfId="0" applyFill="1" applyFont="1"/>
    <xf borderId="31" fillId="28" fontId="3" numFmtId="0" xfId="0" applyBorder="1" applyFill="1" applyFont="1"/>
    <xf borderId="32" fillId="7" fontId="3" numFmtId="0" xfId="0" applyBorder="1" applyFont="1"/>
    <xf borderId="8" fillId="29" fontId="3" numFmtId="0" xfId="0" applyBorder="1" applyFill="1" applyFont="1"/>
    <xf borderId="32" fillId="30" fontId="3" numFmtId="0" xfId="0" applyBorder="1" applyFill="1" applyFont="1"/>
    <xf borderId="33" fillId="29" fontId="3" numFmtId="0" xfId="0" applyBorder="1" applyFont="1"/>
    <xf borderId="34" fillId="16" fontId="3" numFmtId="0" xfId="0" applyBorder="1" applyFont="1"/>
    <xf borderId="35" fillId="31" fontId="3" numFmtId="0" xfId="0" applyBorder="1" applyFill="1" applyFont="1"/>
    <xf borderId="36" fillId="6" fontId="3" numFmtId="0" xfId="0" applyBorder="1" applyFont="1"/>
    <xf borderId="37" fillId="0" fontId="51" numFmtId="0" xfId="0" applyAlignment="1" applyBorder="1" applyFont="1">
      <alignment horizontal="center"/>
    </xf>
    <xf borderId="38" fillId="0" fontId="52" numFmtId="165" xfId="0" applyAlignment="1" applyBorder="1" applyFont="1" applyNumberFormat="1">
      <alignment horizontal="center"/>
    </xf>
    <xf borderId="39" fillId="0" fontId="53" numFmtId="165" xfId="0" applyAlignment="1" applyBorder="1" applyFont="1" applyNumberFormat="1">
      <alignment horizontal="center"/>
    </xf>
    <xf borderId="40" fillId="0" fontId="6" numFmtId="0" xfId="0" applyBorder="1" applyFont="1"/>
    <xf borderId="38" fillId="0" fontId="54" numFmtId="165" xfId="0" applyAlignment="1" applyBorder="1" applyFont="1" applyNumberFormat="1">
      <alignment horizontal="center"/>
    </xf>
    <xf borderId="41" fillId="0" fontId="55" numFmtId="165" xfId="0" applyAlignment="1" applyBorder="1" applyFont="1" applyNumberFormat="1">
      <alignment horizontal="center"/>
    </xf>
    <xf borderId="42" fillId="0" fontId="56" numFmtId="165" xfId="0" applyAlignment="1" applyBorder="1" applyFont="1" applyNumberFormat="1">
      <alignment horizontal="center"/>
    </xf>
    <xf borderId="43" fillId="0" fontId="57" numFmtId="165" xfId="0" applyAlignment="1" applyBorder="1" applyFont="1" applyNumberFormat="1">
      <alignment horizontal="center"/>
    </xf>
    <xf borderId="44" fillId="0" fontId="51" numFmtId="0" xfId="0" applyAlignment="1" applyBorder="1" applyFont="1">
      <alignment horizontal="center"/>
    </xf>
    <xf borderId="0" fillId="32" fontId="17" numFmtId="0" xfId="0" applyFill="1" applyFont="1"/>
    <xf borderId="0" fillId="14" fontId="17" numFmtId="0" xfId="0" applyFont="1"/>
    <xf borderId="0" fillId="33" fontId="17" numFmtId="0" xfId="0" applyFill="1" applyFont="1"/>
    <xf borderId="0" fillId="8" fontId="3" numFmtId="0" xfId="0" applyFont="1"/>
    <xf borderId="0" fillId="10" fontId="3" numFmtId="0" xfId="0" applyFont="1"/>
    <xf borderId="0" fillId="25" fontId="3" numFmtId="0" xfId="0" applyFont="1"/>
    <xf borderId="0" fillId="8" fontId="3" numFmtId="165" xfId="0" applyFont="1" applyNumberFormat="1"/>
    <xf borderId="0" fillId="10" fontId="3" numFmtId="165" xfId="0" applyFont="1" applyNumberFormat="1"/>
    <xf borderId="0" fillId="25" fontId="3" numFmtId="165" xfId="0" applyFont="1" applyNumberFormat="1"/>
    <xf borderId="0" fillId="2" fontId="5" numFmtId="0" xfId="0" applyFont="1"/>
    <xf borderId="0" fillId="4" fontId="3" numFmtId="0" xfId="0" applyAlignment="1" applyFont="1">
      <alignment horizontal="center"/>
    </xf>
    <xf borderId="0" fillId="34" fontId="4" numFmtId="0" xfId="0" applyFill="1" applyFont="1"/>
    <xf borderId="0" fillId="34" fontId="4" numFmtId="165" xfId="0" applyFont="1" applyNumberFormat="1"/>
    <xf borderId="0" fillId="2" fontId="22" numFmtId="165" xfId="0" applyFont="1" applyNumberFormat="1"/>
    <xf borderId="0" fillId="2" fontId="33" numFmtId="0" xfId="0" applyFont="1"/>
    <xf borderId="0" fillId="35" fontId="29" numFmtId="0" xfId="0" applyAlignment="1" applyFill="1" applyFont="1">
      <alignment horizontal="center"/>
    </xf>
    <xf borderId="0" fillId="0" fontId="3" numFmtId="0" xfId="0" applyFont="1"/>
    <xf borderId="0" fillId="4" fontId="58" numFmtId="0" xfId="0" applyFont="1"/>
    <xf borderId="0" fillId="5" fontId="3" numFmtId="0" xfId="0" applyFont="1"/>
    <xf borderId="0" fillId="5" fontId="59" numFmtId="0" xfId="0" applyFont="1"/>
    <xf borderId="0" fillId="5" fontId="60" numFmtId="165" xfId="0" applyFont="1" applyNumberFormat="1"/>
    <xf borderId="0" fillId="5" fontId="3" numFmtId="165" xfId="0" applyFont="1" applyNumberFormat="1"/>
    <xf borderId="0" fillId="5" fontId="61" numFmtId="165" xfId="0" applyFont="1" applyNumberFormat="1"/>
    <xf borderId="0" fillId="5" fontId="62" numFmtId="165" xfId="0" applyFont="1" applyNumberFormat="1"/>
    <xf borderId="0" fillId="5" fontId="63" numFmtId="165" xfId="0" applyFont="1" applyNumberFormat="1"/>
    <xf borderId="0" fillId="5" fontId="64" numFmtId="0" xfId="0" applyFont="1"/>
    <xf borderId="0" fillId="3" fontId="65" numFmtId="0" xfId="0" applyAlignment="1" applyFont="1">
      <alignment horizontal="center"/>
    </xf>
    <xf borderId="17" fillId="3" fontId="22" numFmtId="0" xfId="0" applyBorder="1" applyFont="1"/>
    <xf borderId="14" fillId="14" fontId="22" numFmtId="0" xfId="0" applyBorder="1" applyFont="1"/>
    <xf borderId="21" fillId="13" fontId="58" numFmtId="0" xfId="0" applyBorder="1" applyFont="1"/>
    <xf borderId="21" fillId="5" fontId="58" numFmtId="0" xfId="0" applyBorder="1" applyFont="1"/>
    <xf borderId="45" fillId="32" fontId="22" numFmtId="0" xfId="0" applyBorder="1" applyFont="1"/>
    <xf borderId="46" fillId="0" fontId="6" numFmtId="0" xfId="0" applyBorder="1" applyFont="1"/>
    <xf borderId="47" fillId="8" fontId="3" numFmtId="0" xfId="0" applyBorder="1" applyFont="1"/>
    <xf borderId="47" fillId="13" fontId="4" numFmtId="0" xfId="0" applyBorder="1" applyFont="1"/>
    <xf borderId="47" fillId="36" fontId="4" numFmtId="0" xfId="0" applyBorder="1" applyFill="1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  <dxf>
      <font>
        <color rgb="FF065F46"/>
      </font>
      <fill>
        <patternFill patternType="solid">
          <fgColor rgb="FFD1FAE5"/>
          <bgColor rgb="FFD1FAE5"/>
        </patternFill>
      </fill>
      <border/>
    </dxf>
    <dxf>
      <font>
        <b/>
        <color rgb="FF1E40AF"/>
      </font>
      <fill>
        <patternFill patternType="solid">
          <fgColor rgb="FFDBEAFE"/>
          <bgColor rgb="FFDBEAFE"/>
        </patternFill>
      </fill>
      <border/>
    </dxf>
    <dxf>
      <font>
        <b/>
        <color rgb="FF5B21B6"/>
      </font>
      <fill>
        <patternFill patternType="solid">
          <fgColor rgb="FFEDE9FE"/>
          <bgColor rgb="FFEDE9FE"/>
        </patternFill>
      </fill>
      <border/>
    </dxf>
    <dxf>
      <font>
        <color rgb="FF1E40AF"/>
      </font>
      <fill>
        <patternFill patternType="solid">
          <fgColor rgb="FFDBEAFE"/>
          <bgColor rgb="FFDBEAFE"/>
        </patternFill>
      </fill>
      <border/>
    </dxf>
    <dxf>
      <font>
        <color rgb="FF5B21B6"/>
      </font>
      <fill>
        <patternFill patternType="solid">
          <fgColor rgb="FFEDE9FE"/>
          <bgColor rgb="FFEDE9FE"/>
        </patternFill>
      </fill>
      <border/>
    </dxf>
  </dxfs>
  <tableStyles count="2">
    <tableStyle count="3" pivot="0" name="📋 All Notices-style">
      <tableStyleElement dxfId="1" type="headerRow"/>
      <tableStyleElement dxfId="2" type="firstRowStripe"/>
      <tableStyleElement dxfId="3" type="secondRowStripe"/>
    </tableStyle>
    <tableStyle count="2" pivot="0" name="📋 All Notices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1E3A5F"/>
                </a:solidFill>
                <a:latin typeface="+mn-lt"/>
              </a:defRPr>
            </a:pPr>
            <a:r>
              <a:rPr b="1" i="0" sz="1400">
                <a:solidFill>
                  <a:srgbClr val="1E3A5F"/>
                </a:solidFill>
                <a:latin typeface="+mn-lt"/>
              </a:rPr>
              <a:t>📊 Status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B82F6"/>
              </a:solidFill>
            </c:spPr>
          </c:dPt>
          <c:dPt>
            <c:idx val="1"/>
            <c:spPr>
              <a:solidFill>
                <a:srgbClr val="10B981"/>
              </a:solidFill>
            </c:spPr>
          </c:dPt>
          <c:dPt>
            <c:idx val="2"/>
            <c:spPr>
              <a:solidFill>
                <a:srgbClr val="8B5CF6"/>
              </a:solidFill>
            </c:spPr>
          </c:dPt>
          <c:dPt>
            <c:idx val="3"/>
            <c:spPr>
              <a:solidFill>
                <a:srgbClr val="EF4444"/>
              </a:solidFill>
            </c:spPr>
          </c:dPt>
          <c:dPt>
            <c:idx val="4"/>
            <c:spPr>
              <a:solidFill>
                <a:srgbClr val="F59E0B"/>
              </a:solidFill>
            </c:spPr>
          </c:dPt>
          <c:dPt>
            <c:idx val="5"/>
            <c:spPr>
              <a:solidFill>
                <a:srgbClr val="6B728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Analytics'!$A$11:$A$16</c:f>
            </c:strRef>
          </c:cat>
          <c:val>
            <c:numRef>
              <c:f>'📈 Analytics'!$B$11:$B$16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1E3A5F"/>
                </a:solidFill>
                <a:latin typeface="+mn-lt"/>
              </a:defRPr>
            </a:pPr>
            <a:r>
              <a:rPr b="1" i="0" sz="1400">
                <a:solidFill>
                  <a:srgbClr val="1E3A5F"/>
                </a:solidFill>
                <a:latin typeface="+mn-lt"/>
              </a:rPr>
              <a:t>🏛️ State-wise Total Demand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DC2626"/>
            </a:solidFill>
            <a:ln cmpd="sng">
              <a:noFill/>
            </a:ln>
          </c:spPr>
          <c:cat>
            <c:strRef>
              <c:f>'📈 Analytics'!$A$24:$A$42</c:f>
            </c:strRef>
          </c:cat>
          <c:val>
            <c:numRef>
              <c:f>'📈 Analytics'!$J$24:$J$42</c:f>
              <c:numCache/>
            </c:numRef>
          </c:val>
        </c:ser>
        <c:axId val="1725605644"/>
        <c:axId val="1259508495"/>
      </c:barChart>
      <c:catAx>
        <c:axId val="17256056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259508495"/>
      </c:catAx>
      <c:valAx>
        <c:axId val="12595084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 Demand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25605644"/>
        <c:crosses val="max"/>
      </c:valAx>
    </c:plotArea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1E3A5F"/>
                </a:solidFill>
                <a:latin typeface="+mn-lt"/>
              </a:defRPr>
            </a:pPr>
            <a:r>
              <a:rPr b="1" i="0" sz="1400">
                <a:solidFill>
                  <a:srgbClr val="1E3A5F"/>
                </a:solidFill>
                <a:latin typeface="+mn-lt"/>
              </a:rPr>
              <a:t>📅 FY-wise Demand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59E0B"/>
            </a:solidFill>
            <a:ln cmpd="sng">
              <a:noFill/>
            </a:ln>
          </c:spPr>
          <c:cat>
            <c:strRef>
              <c:f>'📈 Analytics'!$J$11:$J$18</c:f>
            </c:strRef>
          </c:cat>
          <c:val>
            <c:numRef>
              <c:f>'📈 Analytics'!$L$11:$L$18</c:f>
              <c:numCache/>
            </c:numRef>
          </c:val>
        </c:ser>
        <c:ser>
          <c:idx val="1"/>
          <c:order val="1"/>
          <c:spPr>
            <a:solidFill>
              <a:srgbClr val="DC2626"/>
            </a:solidFill>
            <a:ln cmpd="sng">
              <a:noFill/>
            </a:ln>
          </c:spPr>
          <c:cat>
            <c:strRef>
              <c:f>'📈 Analytics'!$J$11:$J$18</c:f>
            </c:strRef>
          </c:cat>
          <c:val>
            <c:numRef>
              <c:f>'📈 Analytics'!$M$11:$M$18</c:f>
              <c:numCache/>
            </c:numRef>
          </c:val>
        </c:ser>
        <c:axId val="1880902004"/>
        <c:axId val="629406580"/>
      </c:barChart>
      <c:catAx>
        <c:axId val="1880902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Financial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629406580"/>
      </c:catAx>
      <c:valAx>
        <c:axId val="629406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880902004"/>
      </c:valAx>
    </c:plotArea>
    <c:legend>
      <c:legendPos val="t"/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1E3A5F"/>
                </a:solidFill>
                <a:latin typeface="+mn-lt"/>
              </a:defRPr>
            </a:pPr>
            <a:r>
              <a:rPr b="1" i="0" sz="1400">
                <a:solidFill>
                  <a:srgbClr val="1E3A5F"/>
                </a:solidFill>
                <a:latin typeface="+mn-lt"/>
              </a:rPr>
              <a:t>💰 Demand Composition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B82F6"/>
              </a:solidFill>
            </c:spPr>
          </c:dPt>
          <c:dPt>
            <c:idx val="1"/>
            <c:spPr>
              <a:solidFill>
                <a:srgbClr val="F59E0B"/>
              </a:solidFill>
            </c:spPr>
          </c:dPt>
          <c:dPt>
            <c:idx val="2"/>
            <c:spPr>
              <a:solidFill>
                <a:srgbClr val="EF4444"/>
              </a:solidFill>
            </c:spPr>
          </c:dPt>
          <c:dPt>
            <c:idx val="3"/>
            <c:spPr>
              <a:solidFill>
                <a:srgbClr val="8B5CF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Analytics'!$A$80:$A$83</c:f>
            </c:strRef>
          </c:cat>
          <c:val>
            <c:numRef>
              <c:f>'📈 Analytics'!$B$80:$B$83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1E3A5F"/>
                </a:solidFill>
                <a:latin typeface="+mn-lt"/>
              </a:defRPr>
            </a:pPr>
            <a:r>
              <a:rPr b="1" i="0" sz="1400">
                <a:solidFill>
                  <a:srgbClr val="1E3A5F"/>
                </a:solidFill>
                <a:latin typeface="+mn-lt"/>
              </a:rPr>
              <a:t>🏷️ Case Type - Demand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8B5CF6"/>
            </a:solidFill>
            <a:ln cmpd="sng">
              <a:noFill/>
            </a:ln>
          </c:spPr>
          <c:cat>
            <c:strRef>
              <c:f>'📈 Analytics'!$F$11:$F$17</c:f>
            </c:strRef>
          </c:cat>
          <c:val>
            <c:numRef>
              <c:f>'📈 Analytics'!$H$11:$H$17</c:f>
              <c:numCache/>
            </c:numRef>
          </c:val>
        </c:ser>
        <c:axId val="143275754"/>
        <c:axId val="689961143"/>
      </c:barChart>
      <c:catAx>
        <c:axId val="1432757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89961143"/>
      </c:catAx>
      <c:valAx>
        <c:axId val="6899611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 Demand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275754"/>
        <c:crosses val="max"/>
      </c:valAx>
    </c:plotArea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1066800</xdr:colOff>
      <xdr:row>50</xdr:row>
      <xdr:rowOff>19050</xdr:rowOff>
    </xdr:from>
    <xdr:ext cx="4943475" cy="3333750"/>
    <xdr:graphicFrame>
      <xdr:nvGraphicFramePr>
        <xdr:cNvPr id="202969800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361950</xdr:colOff>
      <xdr:row>46</xdr:row>
      <xdr:rowOff>0</xdr:rowOff>
    </xdr:from>
    <xdr:ext cx="5343525" cy="3438525"/>
    <xdr:graphicFrame>
      <xdr:nvGraphicFramePr>
        <xdr:cNvPr id="84117135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67</xdr:row>
      <xdr:rowOff>66675</xdr:rowOff>
    </xdr:from>
    <xdr:ext cx="5715000" cy="2667000"/>
    <xdr:graphicFrame>
      <xdr:nvGraphicFramePr>
        <xdr:cNvPr id="117927961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9525</xdr:colOff>
      <xdr:row>64</xdr:row>
      <xdr:rowOff>0</xdr:rowOff>
    </xdr:from>
    <xdr:ext cx="4762500" cy="3333750"/>
    <xdr:graphicFrame>
      <xdr:nvGraphicFramePr>
        <xdr:cNvPr id="31185451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83</xdr:row>
      <xdr:rowOff>152400</xdr:rowOff>
    </xdr:from>
    <xdr:ext cx="4333875" cy="2428875"/>
    <xdr:graphicFrame>
      <xdr:nvGraphicFramePr>
        <xdr:cNvPr id="332315158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V24:V36" displayName="Table_1" name="Table_1" id="1">
  <tableColumns count="1">
    <tableColumn name="APPEAL FILED AND  HEARING UNDER PROCESS TO HANDEL BY HITESH JI" id="1"/>
  </tableColumns>
  <tableStyleInfo name="📋 All Notices-style" showColumnStripes="0" showFirstColumn="1" showLastColumn="1" showRowStripes="1"/>
</table>
</file>

<file path=xl/tables/table2.xml><?xml version="1.0" encoding="utf-8"?>
<table xmlns="http://schemas.openxmlformats.org/spreadsheetml/2006/main" headerRowCount="0" ref="W26:W28" displayName="Table_2" name="Table_2" id="2">
  <tableColumns count="1">
    <tableColumn name="Column1" id="1"/>
  </tableColumns>
  <tableStyleInfo name="📋 All Notic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0000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5.13"/>
    <col customWidth="1" min="2" max="4" width="15.13"/>
    <col customWidth="1" min="5" max="5" width="5.13"/>
    <col customWidth="1" min="6" max="6" width="25.13"/>
    <col customWidth="1" min="7" max="8" width="15.13"/>
    <col customWidth="1" min="9" max="10" width="18.88"/>
    <col customWidth="1" min="11" max="11" width="22.38"/>
    <col customWidth="1" min="12" max="13" width="18.88"/>
  </cols>
  <sheetData>
    <row r="1" ht="41.25" customHeight="1">
      <c r="A1" s="1" t="s">
        <v>0</v>
      </c>
    </row>
    <row r="2" ht="22.5" customHeight="1">
      <c r="A2" s="2" t="s">
        <v>1</v>
      </c>
    </row>
    <row r="3" ht="15.75" customHeight="1">
      <c r="A3" s="3" t="s">
        <v>2</v>
      </c>
      <c r="B3" s="4">
        <f>NOW()</f>
        <v>46221.29729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ht="28.5" customHeight="1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9"/>
    </row>
    <row r="6" ht="15.75" customHeight="1">
      <c r="A6" s="10" t="s">
        <v>4</v>
      </c>
      <c r="B6" s="9"/>
      <c r="C6" s="10" t="s">
        <v>5</v>
      </c>
      <c r="D6" s="9"/>
      <c r="E6" s="10" t="s">
        <v>6</v>
      </c>
      <c r="F6" s="9"/>
      <c r="G6" s="10" t="s">
        <v>7</v>
      </c>
      <c r="H6" s="9"/>
      <c r="I6" s="11"/>
      <c r="J6" s="11"/>
      <c r="K6" s="11"/>
      <c r="L6" s="10" t="s">
        <v>8</v>
      </c>
      <c r="M6" s="9"/>
    </row>
    <row r="7" ht="52.5" customHeight="1">
      <c r="A7" s="12">
        <f>COUNTA('📋 All Notices'!A:A)-1</f>
        <v>34</v>
      </c>
      <c r="B7" s="9"/>
      <c r="C7" s="13">
        <f>COUNTIF('📋 All Notices'!Q:Q,"Active")+COUNTIF('📋 All Notices'!R:R,"Pending*")</f>
        <v>31</v>
      </c>
      <c r="D7" s="9"/>
      <c r="E7" s="14">
        <f>COUNTIF('📋 All Notices'!Q:Q,"Completed")+COUNTIF('📋 All Notices'!Q:Q,"Closed")+COUNTIF('📋 All Notices'!Q:Q,"Dropped")</f>
        <v>3</v>
      </c>
      <c r="F7" s="9"/>
      <c r="G7" s="15">
        <f>COUNTIF('📋 All Notices'!Q:Q,"Pending Reply")</f>
        <v>0</v>
      </c>
      <c r="H7" s="9"/>
      <c r="I7" s="16"/>
      <c r="J7" s="16"/>
      <c r="K7" s="17"/>
      <c r="L7" s="18">
        <f>COUNTIF('📋 All Notices'!R:R,"Appeal Filed")</f>
        <v>0</v>
      </c>
      <c r="M7" s="9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28.5" customHeight="1">
      <c r="A9" s="19" t="s">
        <v>9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</row>
    <row r="10" ht="15.75" customHeight="1">
      <c r="A10" s="22" t="s">
        <v>10</v>
      </c>
      <c r="B10" s="23"/>
      <c r="C10" s="22" t="s">
        <v>11</v>
      </c>
      <c r="D10" s="23"/>
      <c r="E10" s="22" t="s">
        <v>12</v>
      </c>
      <c r="F10" s="23"/>
      <c r="G10" s="22" t="s">
        <v>13</v>
      </c>
      <c r="H10" s="23"/>
      <c r="I10" s="24" t="s">
        <v>14</v>
      </c>
      <c r="J10" s="24" t="s">
        <v>15</v>
      </c>
      <c r="K10" s="24" t="s">
        <v>16</v>
      </c>
      <c r="L10" s="25" t="s">
        <v>17</v>
      </c>
      <c r="M10" s="23"/>
    </row>
    <row r="11" ht="37.5" customHeight="1">
      <c r="A11" s="26">
        <f>SUM('📋 All Notices'!O:O)</f>
        <v>625905979.5</v>
      </c>
      <c r="B11" s="27"/>
      <c r="C11" s="28">
        <f>SUM('📋 All Notices'!I:I)</f>
        <v>125614709</v>
      </c>
      <c r="D11" s="27"/>
      <c r="E11" s="28">
        <f>SUM('📋 All Notices'!J:J)</f>
        <v>87718454</v>
      </c>
      <c r="F11" s="27"/>
      <c r="G11" s="28">
        <f>SUM('📋 All Notices'!K:K)</f>
        <v>87718333</v>
      </c>
      <c r="H11" s="27"/>
      <c r="I11" s="29">
        <f>SUMIF('📋 All Notices'!$A$3:$A1006,"&gt;0",'📋 All Notices'!L$3:L1006)</f>
        <v>99631052.93</v>
      </c>
      <c r="J11" s="29">
        <f>SUMIF('📋 All Notices'!$A$3:$A1006,"&gt;0",'📋 All Notices'!M$3:M1006)</f>
        <v>223571190.6</v>
      </c>
      <c r="K11" s="30">
        <f>SUMIF('📋 All Notices'!$A$3:$A1006,"&gt;0",'📋 All Notices'!N$3:N1006)</f>
        <v>1652240</v>
      </c>
      <c r="L11" s="31">
        <f>SUM('📋 All Notices'!P:P)</f>
        <v>6030483</v>
      </c>
      <c r="M11" s="27"/>
    </row>
    <row r="12" ht="15.7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ht="15.75" customHeight="1">
      <c r="A13" s="33" t="s">
        <v>18</v>
      </c>
      <c r="B13" s="34"/>
      <c r="C13" s="34"/>
      <c r="D13" s="35"/>
      <c r="E13" s="6"/>
      <c r="F13" s="36" t="s">
        <v>19</v>
      </c>
      <c r="G13" s="37"/>
      <c r="H13" s="37"/>
      <c r="I13" s="37"/>
      <c r="J13" s="37"/>
      <c r="K13" s="37"/>
      <c r="L13" s="37"/>
      <c r="M13" s="38"/>
    </row>
    <row r="14" ht="15.75" customHeight="1">
      <c r="A14" s="39" t="s">
        <v>20</v>
      </c>
      <c r="B14" s="40" t="s">
        <v>21</v>
      </c>
      <c r="C14" s="40" t="s">
        <v>22</v>
      </c>
      <c r="D14" s="40" t="s">
        <v>23</v>
      </c>
      <c r="E14" s="6"/>
      <c r="F14" s="41" t="s">
        <v>24</v>
      </c>
      <c r="G14" s="42" t="s">
        <v>25</v>
      </c>
      <c r="H14" s="42" t="s">
        <v>22</v>
      </c>
      <c r="I14" s="42"/>
      <c r="J14" s="42"/>
      <c r="K14" s="42"/>
      <c r="L14" s="42" t="s">
        <v>23</v>
      </c>
      <c r="M14" s="42" t="s">
        <v>26</v>
      </c>
    </row>
    <row r="15" ht="15.75" customHeight="1">
      <c r="A15" s="43" t="s">
        <v>27</v>
      </c>
      <c r="B15" s="44">
        <f>COUNTIF('📋 All Notices'!E:E,"*74*DGGI*")</f>
        <v>14</v>
      </c>
      <c r="C15" s="44">
        <f>COUNTIFS('📋 All Notices'!E:E,"*74*DGGI*",'📋 All Notices'!Q:Q,"&lt;&gt;Completed",'📋 All Notices'!Q:Q,"&lt;&gt;Closed",'📋 All Notices'!Q:Q,"&lt;&gt;Dropped")</f>
        <v>14</v>
      </c>
      <c r="D15" s="45">
        <f>SUMIF('📋 All Notices'!E:E,"*74*DGGI*",'📋 All Notices'!O:O)</f>
        <v>366872521</v>
      </c>
      <c r="E15" s="6"/>
      <c r="F15" s="46" t="s">
        <v>28</v>
      </c>
      <c r="G15" s="47">
        <f>COUNTIF('📋 All Notices'!B:B,"*Andhra Pradesh*")</f>
        <v>0</v>
      </c>
      <c r="H15" s="47">
        <f>COUNTIFS('📋 All Notices'!B:B,"*Andhra Pradesh*",'📋 All Notices'!Q:Q,"&lt;&gt;Completed",'📋 All Notices'!Q:Q,"&lt;&gt;Closed",'📋 All Notices'!Q:Q,"&lt;&gt;Dropped")</f>
        <v>0</v>
      </c>
      <c r="I15" s="48"/>
      <c r="J15" s="48"/>
      <c r="K15" s="48"/>
      <c r="L15" s="48">
        <f>SUMIF('📋 All Notices'!B:B,"*Andhra Pradesh*",'📋 All Notices'!O:O)</f>
        <v>0</v>
      </c>
      <c r="M15" s="47">
        <f>COUNTIFS('📋 All Notices'!B:B,"*Andhra Pradesh*",'📋 All Notices'!Q:Q,"Completed")+COUNTIFS('📋 All Notices'!B:B,"*Andhra Pradesh*",'📋 All Notices'!Q:Q,"Closed")</f>
        <v>0</v>
      </c>
    </row>
    <row r="16" ht="15.75" customHeight="1">
      <c r="A16" s="49" t="s">
        <v>29</v>
      </c>
      <c r="B16" s="50">
        <f>COUNTIF('📋 All Notices'!E:E,"*74*")</f>
        <v>17</v>
      </c>
      <c r="C16" s="50">
        <f>COUNTIFS('📋 All Notices'!E:E,"*74*",'📋 All Notices'!Q:Q,"&lt;&gt;Completed",'📋 All Notices'!Q:Q,"&lt;&gt;Closed",'📋 All Notices'!Q:Q,"&lt;&gt;Dropped")</f>
        <v>16</v>
      </c>
      <c r="D16" s="51">
        <f>SUMIF('📋 All Notices'!E:E,"DRC-01 (Sec 74)",'📋 All Notices'!O:O)</f>
        <v>13398</v>
      </c>
      <c r="E16" s="6"/>
      <c r="F16" s="52" t="s">
        <v>30</v>
      </c>
      <c r="G16" s="53">
        <f>COUNTIF('📋 All Notices'!B:B,"*Assam*")</f>
        <v>0</v>
      </c>
      <c r="H16" s="53">
        <f>COUNTIFS('📋 All Notices'!B:B,"*Assam*",'📋 All Notices'!Q:Q,"&lt;&gt;Completed",'📋 All Notices'!Q:Q,"&lt;&gt;Closed",'📋 All Notices'!Q:Q,"&lt;&gt;Dropped")</f>
        <v>0</v>
      </c>
      <c r="I16" s="54"/>
      <c r="J16" s="54"/>
      <c r="K16" s="54"/>
      <c r="L16" s="54">
        <f>SUMIF('📋 All Notices'!B:B,"*Assam*",'📋 All Notices'!O:O)</f>
        <v>0</v>
      </c>
      <c r="M16" s="53">
        <f>COUNTIFS('📋 All Notices'!B:B,"*Assam*",'📋 All Notices'!Q:Q,"Completed")+COUNTIFS('📋 All Notices'!B:B,"*Assam*",'📋 All Notices'!Q:Q,"Closed")</f>
        <v>0</v>
      </c>
    </row>
    <row r="17" ht="15.75" customHeight="1">
      <c r="A17" s="43" t="s">
        <v>31</v>
      </c>
      <c r="B17" s="50">
        <f>COUNTIF('📋 All Notices'!E:E,"*74*")</f>
        <v>17</v>
      </c>
      <c r="C17" s="55">
        <v>1.0</v>
      </c>
      <c r="D17" s="51">
        <f>SUMIF('📋 All Notices'!E:E,"DRC-01 (Sec 73)",'📋 All Notices'!O:O)</f>
        <v>7402773</v>
      </c>
      <c r="E17" s="6"/>
      <c r="F17" s="46" t="s">
        <v>32</v>
      </c>
      <c r="G17" s="47">
        <f>COUNTIF('📋 All Notices'!B:B,"*Bihar*")</f>
        <v>0</v>
      </c>
      <c r="H17" s="47">
        <f>COUNTIFS('📋 All Notices'!B:B,"*Bihar*",'📋 All Notices'!Q:Q,"&lt;&gt;Completed",'📋 All Notices'!Q:Q,"&lt;&gt;Closed",'📋 All Notices'!Q:Q,"&lt;&gt;Dropped")</f>
        <v>0</v>
      </c>
      <c r="I17" s="48"/>
      <c r="J17" s="48"/>
      <c r="K17" s="48"/>
      <c r="L17" s="48">
        <f>SUMIF('📋 All Notices'!B:B,"*Bihar*",'📋 All Notices'!O:O)</f>
        <v>0</v>
      </c>
      <c r="M17" s="47">
        <f>COUNTIFS('📋 All Notices'!B:B,"*Bihar*",'📋 All Notices'!Q:Q,"Completed")+COUNTIFS('📋 All Notices'!B:B,"*Bihar*",'📋 All Notices'!Q:Q,"Closed")</f>
        <v>0</v>
      </c>
    </row>
    <row r="18" ht="15.75" customHeight="1">
      <c r="A18" s="49" t="s">
        <v>33</v>
      </c>
      <c r="B18" s="50">
        <f>COUNTIF('📋 All Notices'!E:E,"*DRC-01A*")</f>
        <v>0</v>
      </c>
      <c r="C18" s="50">
        <f>COUNTIFS('📋 All Notices'!E:E,"*DRC-01A*",'📋 All Notices'!Q:Q,"&lt;&gt;Completed",'📋 All Notices'!Q:Q,"&lt;&gt;Closed",'📋 All Notices'!Q:Q,"&lt;&gt;Dropped")</f>
        <v>0</v>
      </c>
      <c r="D18" s="51">
        <f>SUMIF('📋 All Notices'!E:E,"*DRC-01A*",'📋 All Notices'!O:O)</f>
        <v>0</v>
      </c>
      <c r="E18" s="6"/>
      <c r="F18" s="52" t="s">
        <v>34</v>
      </c>
      <c r="G18" s="53">
        <f>COUNTIF('📋 All Notices'!B:B,"*Chandigarh*")</f>
        <v>0</v>
      </c>
      <c r="H18" s="53">
        <f>COUNTIFS('📋 All Notices'!B:B,"*Chandigarh*",'📋 All Notices'!Q:Q,"&lt;&gt;Completed",'📋 All Notices'!Q:Q,"&lt;&gt;Closed",'📋 All Notices'!Q:Q,"&lt;&gt;Dropped")</f>
        <v>0</v>
      </c>
      <c r="I18" s="54"/>
      <c r="J18" s="54"/>
      <c r="K18" s="54"/>
      <c r="L18" s="54">
        <f>SUMIF('📋 All Notices'!B:B,"*Chandigarh*",'📋 All Notices'!O:O)</f>
        <v>0</v>
      </c>
      <c r="M18" s="53">
        <f>COUNTIFS('📋 All Notices'!B:B,"*Chandigarh*",'📋 All Notices'!Q:Q,"Completed")+COUNTIFS('📋 All Notices'!B:B,"*Chandigarh*",'📋 All Notices'!Q:Q,"Closed")</f>
        <v>0</v>
      </c>
    </row>
    <row r="19" ht="15.75" customHeight="1">
      <c r="A19" s="43" t="s">
        <v>35</v>
      </c>
      <c r="B19" s="44">
        <f>COUNTIF('📋 All Notices'!E:E,"*DRC-07 (Sec 73)*")</f>
        <v>1</v>
      </c>
      <c r="C19" s="44">
        <f>COUNTIFS('📋 All Notices'!E:E,"*DRC-07*",'📋 All Notices'!Q:Q,"&lt;&gt;Completed",'📋 All Notices'!Q:Q,"&lt;&gt;Closed",'📋 All Notices'!Q:Q,"&lt;&gt;Dropped")</f>
        <v>16</v>
      </c>
      <c r="D19" s="45">
        <f>SUMIF('📋 All Notices'!E:E,"DRC-07 (Sec 73)",'📋 All Notices'!O:O)</f>
        <v>49276808</v>
      </c>
      <c r="E19" s="6"/>
      <c r="F19" s="46" t="s">
        <v>36</v>
      </c>
      <c r="G19" s="47">
        <f>COUNTIF('📋 All Notices'!B:B,"*Delhi*")</f>
        <v>6</v>
      </c>
      <c r="H19" s="47">
        <f>COUNTIFS('📋 All Notices'!B:B,"*Delhi*",'📋 All Notices'!Q:Q,"&lt;&gt;Completed",'📋 All Notices'!Q:Q,"&lt;&gt;Closed",'📋 All Notices'!Q:Q,"&lt;&gt;Dropped")</f>
        <v>5</v>
      </c>
      <c r="I19" s="48"/>
      <c r="J19" s="48"/>
      <c r="K19" s="48"/>
      <c r="L19" s="48">
        <f>SUMIF('📋 All Notices'!B:B,"*Delhi*",'📋 All Notices'!O:O)</f>
        <v>202985538</v>
      </c>
      <c r="M19" s="47">
        <f>COUNTIFS('📋 All Notices'!B:B,"*Delhi*",'📋 All Notices'!Q:Q,"Completed")+COUNTIFS('📋 All Notices'!B:B,"*Delhi*",'📋 All Notices'!Q:Q,"Closed")</f>
        <v>1</v>
      </c>
    </row>
    <row r="20" ht="15.75" customHeight="1">
      <c r="A20" s="49" t="s">
        <v>37</v>
      </c>
      <c r="B20" s="50">
        <f>COUNTIF('📋 All Notices'!E:E,"*ASMT*")</f>
        <v>2</v>
      </c>
      <c r="C20" s="50">
        <f>COUNTIFS('📋 All Notices'!E:E,"*ASMT*",'📋 All Notices'!Q:Q,"&lt;&gt;Completed",'📋 All Notices'!Q:Q,"&lt;&gt;Closed",'📋 All Notices'!Q:Q,"&lt;&gt;Dropped")</f>
        <v>1</v>
      </c>
      <c r="D20" s="51">
        <f>SUMIF('📋 All Notices'!E:E,"*ASMT*",'📋 All Notices'!O:O)</f>
        <v>8349118</v>
      </c>
      <c r="E20" s="6"/>
      <c r="F20" s="52" t="s">
        <v>38</v>
      </c>
      <c r="G20" s="53">
        <f>COUNTIF('📋 All Notices'!B:B,"*Haryana*")</f>
        <v>11</v>
      </c>
      <c r="H20" s="53">
        <f>COUNTIFS('📋 All Notices'!B:B,"*Haryana*",'📋 All Notices'!Q:Q,"&lt;&gt;Completed",'📋 All Notices'!Q:Q,"&lt;&gt;Closed",'📋 All Notices'!Q:Q,"&lt;&gt;Dropped")</f>
        <v>10</v>
      </c>
      <c r="I20" s="54"/>
      <c r="J20" s="54"/>
      <c r="K20" s="54"/>
      <c r="L20" s="54">
        <f>SUMIF('📋 All Notices'!B:B,"*Haryana*",'📋 All Notices'!O:O)</f>
        <v>289053573.5</v>
      </c>
      <c r="M20" s="53">
        <f>COUNTIFS('📋 All Notices'!B:B,"*Haryana*",'📋 All Notices'!Q:Q,"Completed")+COUNTIFS('📋 All Notices'!B:B,"*Haryana*",'📋 All Notices'!Q:Q,"Closed")</f>
        <v>1</v>
      </c>
    </row>
    <row r="21" ht="15.75" customHeight="1">
      <c r="A21" s="56" t="s">
        <v>39</v>
      </c>
      <c r="B21" s="50">
        <f>COUNTIF('📋 All Notices'!E:E,"*APL-01 (Appeal Filed)*")</f>
        <v>10</v>
      </c>
      <c r="C21" s="55">
        <v>6.0</v>
      </c>
      <c r="D21" s="51">
        <f>SUMIF('📋 All Notices'!E:E,"APL-01 (Appeal Filed)",'📋 All Notices'!O:O)</f>
        <v>152429314.5</v>
      </c>
      <c r="E21" s="6"/>
      <c r="F21" s="46" t="s">
        <v>40</v>
      </c>
      <c r="G21" s="47">
        <f>COUNTIF('📋 All Notices'!B:B,"*Himachal Pradesh*")</f>
        <v>1</v>
      </c>
      <c r="H21" s="47">
        <f>COUNTIFS('📋 All Notices'!B:B,"*Himachal Pradesh*",'📋 All Notices'!Q:Q,"&lt;&gt;Completed",'📋 All Notices'!Q:Q,"&lt;&gt;Closed",'📋 All Notices'!Q:Q,"&lt;&gt;Dropped")</f>
        <v>1</v>
      </c>
      <c r="I21" s="48"/>
      <c r="J21" s="48"/>
      <c r="K21" s="48"/>
      <c r="L21" s="48">
        <f>SUMIF('📋 All Notices'!B:B,"*Himachal Pradesh*",'📋 All Notices'!O:O)</f>
        <v>121220</v>
      </c>
      <c r="M21" s="47">
        <f>COUNTIFS('📋 All Notices'!B:B,"*Himachal Pradesh*",'📋 All Notices'!Q:Q,"Completed")+COUNTIFS('📋 All Notices'!B:B,"*Himachal Pradesh*",'📋 All Notices'!Q:Q,"Closed")</f>
        <v>0</v>
      </c>
    </row>
    <row r="22" ht="15.75" customHeight="1">
      <c r="A22" s="6"/>
      <c r="B22" s="6"/>
      <c r="C22" s="6"/>
      <c r="D22" s="6"/>
      <c r="E22" s="6"/>
      <c r="F22" s="52" t="s">
        <v>41</v>
      </c>
      <c r="G22" s="53">
        <f>COUNTIF('📋 All Notices'!B:B,"*Jharkhand*")</f>
        <v>1</v>
      </c>
      <c r="H22" s="53">
        <f>COUNTIFS('📋 All Notices'!B:B,"*Jharkhand*",'📋 All Notices'!Q:Q,"&lt;&gt;Completed",'📋 All Notices'!Q:Q,"&lt;&gt;Closed",'📋 All Notices'!Q:Q,"&lt;&gt;Dropped")</f>
        <v>1</v>
      </c>
      <c r="I22" s="54"/>
      <c r="J22" s="54"/>
      <c r="K22" s="54"/>
      <c r="L22" s="54">
        <f>SUMIF('📋 All Notices'!B:B,"*Jharkhand*",'📋 All Notices'!O:O)</f>
        <v>9816</v>
      </c>
      <c r="M22" s="53">
        <f>COUNTIFS('📋 All Notices'!B:B,"*Jharkhand*",'📋 All Notices'!Q:Q,"Completed")+COUNTIFS('📋 All Notices'!B:B,"*Jharkhand*",'📋 All Notices'!Q:Q,"Closed")</f>
        <v>0</v>
      </c>
    </row>
    <row r="23" ht="15.75" customHeight="1">
      <c r="A23" s="6"/>
      <c r="B23" s="6"/>
      <c r="C23" s="6"/>
      <c r="D23" s="6"/>
      <c r="E23" s="6"/>
      <c r="F23" s="46" t="s">
        <v>42</v>
      </c>
      <c r="G23" s="47">
        <f>COUNTIF('📋 All Notices'!B:B,"*Karnataka*")</f>
        <v>1</v>
      </c>
      <c r="H23" s="47">
        <f>COUNTIFS('📋 All Notices'!B:B,"*Karnataka*",'📋 All Notices'!Q:Q,"&lt;&gt;Completed",'📋 All Notices'!Q:Q,"&lt;&gt;Closed",'📋 All Notices'!Q:Q,"&lt;&gt;Dropped")</f>
        <v>1</v>
      </c>
      <c r="I23" s="48"/>
      <c r="J23" s="48"/>
      <c r="K23" s="48"/>
      <c r="L23" s="48">
        <f>SUMIF('📋 All Notices'!B:B,"*Karnataka*",'📋 All Notices'!O:O)</f>
        <v>264092</v>
      </c>
      <c r="M23" s="47">
        <f>COUNTIFS('📋 All Notices'!B:B,"*Karnataka*",'📋 All Notices'!Q:Q,"Completed")+COUNTIFS('📋 All Notices'!B:B,"*Karnataka*",'📋 All Notices'!Q:Q,"Closed")</f>
        <v>0</v>
      </c>
    </row>
    <row r="24" ht="15.75" customHeight="1">
      <c r="A24" s="6"/>
      <c r="B24" s="6"/>
      <c r="C24" s="6"/>
      <c r="D24" s="6"/>
      <c r="E24" s="6"/>
      <c r="F24" s="52" t="s">
        <v>43</v>
      </c>
      <c r="G24" s="53">
        <f>COUNTIF('📋 All Notices'!B:B,"*Kerala*")</f>
        <v>1</v>
      </c>
      <c r="H24" s="53">
        <f>COUNTIFS('📋 All Notices'!B:B,"*Kerala*",'📋 All Notices'!Q:Q,"&lt;&gt;Completed",'📋 All Notices'!Q:Q,"&lt;&gt;Closed",'📋 All Notices'!Q:Q,"&lt;&gt;Dropped")</f>
        <v>1</v>
      </c>
      <c r="I24" s="54"/>
      <c r="J24" s="54"/>
      <c r="K24" s="54"/>
      <c r="L24" s="54">
        <f>SUMIF('📋 All Notices'!B:B,"*Kerala*",'📋 All Notices'!O:O)</f>
        <v>22702</v>
      </c>
      <c r="M24" s="53">
        <f>COUNTIFS('📋 All Notices'!B:B,"*Kerala*",'📋 All Notices'!Q:Q,"Completed")+COUNTIFS('📋 All Notices'!B:B,"*Kerala*",'📋 All Notices'!Q:Q,"Closed")</f>
        <v>0</v>
      </c>
    </row>
    <row r="25" ht="15.75" customHeight="1">
      <c r="A25" s="6"/>
      <c r="B25" s="6"/>
      <c r="C25" s="6"/>
      <c r="D25" s="6"/>
      <c r="E25" s="6"/>
      <c r="F25" s="46" t="s">
        <v>44</v>
      </c>
      <c r="G25" s="47">
        <f>COUNTIF('📋 All Notices'!B:B,"*Maharashtra*")</f>
        <v>3</v>
      </c>
      <c r="H25" s="47">
        <f>COUNTIFS('📋 All Notices'!B:B,"*Maharashtra*",'📋 All Notices'!Q:Q,"&lt;&gt;Completed",'📋 All Notices'!Q:Q,"&lt;&gt;Closed",'📋 All Notices'!Q:Q,"&lt;&gt;Dropped")</f>
        <v>2</v>
      </c>
      <c r="I25" s="48"/>
      <c r="J25" s="48"/>
      <c r="K25" s="48"/>
      <c r="L25" s="48">
        <f>SUMIF('📋 All Notices'!B:B,"*Maharashtra*",'📋 All Notices'!O:O)</f>
        <v>34627402</v>
      </c>
      <c r="M25" s="47">
        <f>COUNTIFS('📋 All Notices'!B:B,"*Maharashtra*",'📋 All Notices'!Q:Q,"Completed")+COUNTIFS('📋 All Notices'!B:B,"*Maharashtra*",'📋 All Notices'!Q:Q,"Closed")</f>
        <v>1</v>
      </c>
    </row>
    <row r="26" ht="15.75" customHeight="1">
      <c r="A26" s="6"/>
      <c r="B26" s="6"/>
      <c r="C26" s="6"/>
      <c r="D26" s="6"/>
      <c r="E26" s="6"/>
      <c r="F26" s="52" t="s">
        <v>45</v>
      </c>
      <c r="G26" s="53">
        <f>COUNTIF('📋 All Notices'!B:B,"*Odisha*")</f>
        <v>0</v>
      </c>
      <c r="H26" s="53">
        <f>COUNTIFS('📋 All Notices'!B:B,"*Odisha*",'📋 All Notices'!Q:Q,"&lt;&gt;Completed",'📋 All Notices'!Q:Q,"&lt;&gt;Closed",'📋 All Notices'!Q:Q,"&lt;&gt;Dropped")</f>
        <v>0</v>
      </c>
      <c r="I26" s="54"/>
      <c r="J26" s="54"/>
      <c r="K26" s="54"/>
      <c r="L26" s="54">
        <f>SUMIF('📋 All Notices'!B:B,"*Odisha*",'📋 All Notices'!O:O)</f>
        <v>0</v>
      </c>
      <c r="M26" s="53">
        <f>COUNTIFS('📋 All Notices'!B:B,"*Odisha*",'📋 All Notices'!Q:Q,"Completed")+COUNTIFS('📋 All Notices'!B:B,"*Odisha*",'📋 All Notices'!Q:Q,"Closed")</f>
        <v>0</v>
      </c>
    </row>
    <row r="27" ht="15.75" customHeight="1">
      <c r="A27" s="6"/>
      <c r="B27" s="6"/>
      <c r="C27" s="6"/>
      <c r="D27" s="6"/>
      <c r="E27" s="6"/>
      <c r="F27" s="46" t="s">
        <v>46</v>
      </c>
      <c r="G27" s="47">
        <f>COUNTIF('📋 All Notices'!B:B,"*Punjab*")</f>
        <v>0</v>
      </c>
      <c r="H27" s="47">
        <f>COUNTIFS('📋 All Notices'!B:B,"*Punjab*",'📋 All Notices'!Q:Q,"&lt;&gt;Completed",'📋 All Notices'!Q:Q,"&lt;&gt;Closed",'📋 All Notices'!Q:Q,"&lt;&gt;Dropped")</f>
        <v>0</v>
      </c>
      <c r="I27" s="48"/>
      <c r="J27" s="48"/>
      <c r="K27" s="48"/>
      <c r="L27" s="48">
        <f>SUMIF('📋 All Notices'!B:B,"*Punjab*",'📋 All Notices'!O:O)</f>
        <v>0</v>
      </c>
      <c r="M27" s="47">
        <f>COUNTIFS('📋 All Notices'!B:B,"*Punjab*",'📋 All Notices'!Q:Q,"Completed")+COUNTIFS('📋 All Notices'!B:B,"*Punjab*",'📋 All Notices'!Q:Q,"Closed")</f>
        <v>0</v>
      </c>
    </row>
    <row r="28" ht="15.75" customHeight="1">
      <c r="A28" s="6"/>
      <c r="B28" s="6"/>
      <c r="C28" s="6"/>
      <c r="D28" s="6"/>
      <c r="E28" s="6"/>
      <c r="F28" s="52" t="s">
        <v>47</v>
      </c>
      <c r="G28" s="53">
        <f>COUNTIF('📋 All Notices'!B:B,"*Rajasthan*")</f>
        <v>1</v>
      </c>
      <c r="H28" s="53">
        <f>COUNTIFS('📋 All Notices'!B:B,"*Rajasthan*",'📋 All Notices'!Q:Q,"&lt;&gt;Completed",'📋 All Notices'!Q:Q,"&lt;&gt;Closed",'📋 All Notices'!Q:Q,"&lt;&gt;Dropped")</f>
        <v>1</v>
      </c>
      <c r="I28" s="54"/>
      <c r="J28" s="54"/>
      <c r="K28" s="54"/>
      <c r="L28" s="54">
        <f>SUMIF('📋 All Notices'!B:B,"*Rajasthan*",'📋 All Notices'!O:O)</f>
        <v>546060</v>
      </c>
      <c r="M28" s="53">
        <f>COUNTIFS('📋 All Notices'!B:B,"*Rajasthan*",'📋 All Notices'!Q:Q,"Completed")+COUNTIFS('📋 All Notices'!B:B,"*Rajasthan*",'📋 All Notices'!Q:Q,"Closed")</f>
        <v>0</v>
      </c>
    </row>
    <row r="29" ht="15.75" customHeight="1">
      <c r="A29" s="6"/>
      <c r="B29" s="6"/>
      <c r="C29" s="6"/>
      <c r="D29" s="6"/>
      <c r="E29" s="6"/>
      <c r="F29" s="46" t="s">
        <v>48</v>
      </c>
      <c r="G29" s="47">
        <f>COUNTIF('📋 All Notices'!B:B,"*Tamil Nadu*")</f>
        <v>0</v>
      </c>
      <c r="H29" s="47">
        <f>COUNTIFS('📋 All Notices'!B:B,"*Tamil Nadu*",'📋 All Notices'!Q:Q,"&lt;&gt;Completed",'📋 All Notices'!Q:Q,"&lt;&gt;Closed",'📋 All Notices'!Q:Q,"&lt;&gt;Dropped")</f>
        <v>0</v>
      </c>
      <c r="I29" s="48"/>
      <c r="J29" s="48"/>
      <c r="K29" s="48"/>
      <c r="L29" s="48">
        <f>SUMIF('📋 All Notices'!B:B,"*Tamil Nadu*",'📋 All Notices'!O:O)</f>
        <v>0</v>
      </c>
      <c r="M29" s="47">
        <f>COUNTIFS('📋 All Notices'!B:B,"*Tamil Nadu*",'📋 All Notices'!Q:Q,"Completed")+COUNTIFS('📋 All Notices'!B:B,"*Tamil Nadu*",'📋 All Notices'!Q:Q,"Closed")</f>
        <v>0</v>
      </c>
    </row>
    <row r="30" ht="15.75" customHeight="1">
      <c r="A30" s="6"/>
      <c r="B30" s="6"/>
      <c r="C30" s="6"/>
      <c r="D30" s="6"/>
      <c r="E30" s="6"/>
      <c r="F30" s="52" t="s">
        <v>49</v>
      </c>
      <c r="G30" s="53">
        <f>COUNTIF('📋 All Notices'!B:B,"*Telangana*")</f>
        <v>2</v>
      </c>
      <c r="H30" s="53">
        <f>COUNTIFS('📋 All Notices'!B:B,"*Telangana*",'📋 All Notices'!Q:Q,"&lt;&gt;Completed",'📋 All Notices'!Q:Q,"&lt;&gt;Closed",'📋 All Notices'!Q:Q,"&lt;&gt;Dropped")</f>
        <v>2</v>
      </c>
      <c r="I30" s="54"/>
      <c r="J30" s="54"/>
      <c r="K30" s="54"/>
      <c r="L30" s="54">
        <f>SUMIF('📋 All Notices'!B:B,"*Telangana*",'📋 All Notices'!O:O)</f>
        <v>8535414</v>
      </c>
      <c r="M30" s="53">
        <f>COUNTIFS('📋 All Notices'!B:B,"*Telangana*",'📋 All Notices'!Q:Q,"Completed")+COUNTIFS('📋 All Notices'!B:B,"*Telangana*",'📋 All Notices'!Q:Q,"Closed")</f>
        <v>0</v>
      </c>
    </row>
    <row r="31" ht="15.75" customHeight="1">
      <c r="A31" s="6"/>
      <c r="B31" s="6"/>
      <c r="C31" s="6"/>
      <c r="D31" s="6"/>
      <c r="E31" s="6"/>
      <c r="F31" s="46" t="s">
        <v>50</v>
      </c>
      <c r="G31" s="47">
        <f>COUNTIF('📋 All Notices'!B:B,"*Uttar Pradesh*")</f>
        <v>2</v>
      </c>
      <c r="H31" s="47">
        <f>COUNTIFS('📋 All Notices'!B:B,"*Uttar Pradesh*",'📋 All Notices'!Q:Q,"&lt;&gt;Completed",'📋 All Notices'!Q:Q,"&lt;&gt;Closed",'📋 All Notices'!Q:Q,"&lt;&gt;Dropped")</f>
        <v>2</v>
      </c>
      <c r="I31" s="48"/>
      <c r="J31" s="48"/>
      <c r="K31" s="48"/>
      <c r="L31" s="48">
        <f>SUMIF('📋 All Notices'!B:B,"*Uttar Pradesh*",'📋 All Notices'!O:O)</f>
        <v>48286636</v>
      </c>
      <c r="M31" s="47">
        <f>COUNTIFS('📋 All Notices'!B:B,"*Uttar Pradesh*",'📋 All Notices'!Q:Q,"Completed")+COUNTIFS('📋 All Notices'!B:B,"*Uttar Pradesh*",'📋 All Notices'!Q:Q,"Closed")</f>
        <v>0</v>
      </c>
    </row>
    <row r="32" ht="15.75" customHeight="1">
      <c r="A32" s="6"/>
      <c r="B32" s="6"/>
      <c r="C32" s="6"/>
      <c r="D32" s="6"/>
      <c r="E32" s="6"/>
      <c r="F32" s="57" t="s">
        <v>51</v>
      </c>
      <c r="G32" s="58">
        <f>COUNTIF('📋 All Notices'!B:B,"*Uttarakhand*")</f>
        <v>0</v>
      </c>
      <c r="H32" s="58">
        <f>COUNTIFS('📋 All Notices'!B:B,"*Uttarakhand*",'📋 All Notices'!Q:Q,"&lt;&gt;Completed",'📋 All Notices'!Q:Q,"&lt;&gt;Closed",'📋 All Notices'!Q:Q,"&lt;&gt;Dropped")</f>
        <v>0</v>
      </c>
      <c r="I32" s="59"/>
      <c r="J32" s="59"/>
      <c r="K32" s="59"/>
      <c r="L32" s="59">
        <f>SUMIF('📋 All Notices'!B:B,"*Uttarakhand*",'📋 All Notices'!O:O)</f>
        <v>0</v>
      </c>
      <c r="M32" s="58">
        <f>COUNTIFS('📋 All Notices'!B:B,"*Uttarakhand*",'📋 All Notices'!Q:Q,"Completed")+COUNTIFS('📋 All Notices'!B:B,"*Uttarakhand*",'📋 All Notices'!Q:Q,"Closed")</f>
        <v>0</v>
      </c>
    </row>
    <row r="33" ht="15.75" customHeight="1">
      <c r="A33" s="6"/>
      <c r="B33" s="6"/>
      <c r="C33" s="6"/>
      <c r="D33" s="6"/>
      <c r="E33" s="6"/>
      <c r="F33" s="60" t="s">
        <v>52</v>
      </c>
      <c r="G33" s="61">
        <f>COUNTIF('📋 All Notices'!B:B,"*West Bengal*")</f>
        <v>4</v>
      </c>
      <c r="H33" s="61">
        <f>COUNTIFS('📋 All Notices'!B:B,"*West Bengal*",'📋 All Notices'!Q:Q,"&lt;&gt;Completed",'📋 All Notices'!Q:Q,"&lt;&gt;Closed",'📋 All Notices'!Q:Q,"&lt;&gt;Dropped")</f>
        <v>4</v>
      </c>
      <c r="I33" s="62"/>
      <c r="J33" s="62"/>
      <c r="K33" s="62"/>
      <c r="L33" s="62">
        <f>SUMIF('📋 All Notices'!B:B,"*West Bengal*",'📋 All Notices'!O:O)</f>
        <v>39436576</v>
      </c>
      <c r="M33" s="61">
        <f>COUNTIFS('📋 All Notices'!B:B,"*West Bengal*",'📋 All Notices'!Q:Q,"Completed")+COUNTIFS('📋 All Notices'!B:B,"*West Bengal*",'📋 All Notices'!Q:Q,"Closed")</f>
        <v>0</v>
      </c>
    </row>
    <row r="34" ht="15.75" hidden="1" customHeight="1">
      <c r="A34" s="63" t="s">
        <v>53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5"/>
    </row>
    <row r="35" ht="15.75" hidden="1" customHeight="1">
      <c r="A35" s="66" t="s">
        <v>54</v>
      </c>
      <c r="B35" s="65"/>
      <c r="C35" s="67" t="s">
        <v>55</v>
      </c>
      <c r="D35" s="65"/>
      <c r="E35" s="68" t="s">
        <v>56</v>
      </c>
      <c r="F35" s="65"/>
      <c r="G35" s="69" t="s">
        <v>57</v>
      </c>
      <c r="H35" s="65"/>
      <c r="I35" s="70"/>
      <c r="J35" s="70"/>
      <c r="K35" s="70"/>
      <c r="L35" s="67" t="s">
        <v>58</v>
      </c>
      <c r="M35" s="65"/>
    </row>
    <row r="36" ht="37.5" hidden="1" customHeight="1">
      <c r="A36" s="71">
        <f>COUNTIFS('📋 All Notices'!H:H,"&gt;="&amp;TODAY(),'📋 All Notices'!H:H,"&lt;="&amp;TODAY()+7,'📋 All Notices'!Q:Q,"&lt;&gt;Completed",'📋 All Notices'!Q:Q,"&lt;&gt;Closed")</f>
        <v>0</v>
      </c>
      <c r="B36" s="65"/>
      <c r="C36" s="72">
        <f>COUNTIFS('📋 All Notices'!H:H,"&lt;"&amp;TODAY(),'📋 All Notices'!H:H,"&lt;&gt;",'📋 All Notices'!Q:Q,"&lt;&gt;Completed",'📋 All Notices'!Q:Q,"&lt;&gt;Closed")</f>
        <v>22</v>
      </c>
      <c r="D36" s="65"/>
      <c r="E36" s="73">
        <f>COUNTIF('📋 All Notices'!E:E,"*73*")</f>
        <v>4</v>
      </c>
      <c r="F36" s="65"/>
      <c r="G36" s="74">
        <f>COUNTIF('📋 All Notices'!E:E,"*74*")-COUNTIF('📋 All Notices'!E:E,"*DGGI*")</f>
        <v>3</v>
      </c>
      <c r="H36" s="65"/>
      <c r="I36" s="75"/>
      <c r="J36" s="75"/>
      <c r="K36" s="75"/>
      <c r="L36" s="72">
        <f>COUNTIF('📋 All Notices'!E:E,"*DGGI*")</f>
        <v>14</v>
      </c>
      <c r="M36" s="65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G6:H6"/>
    <mergeCell ref="L6:M6"/>
    <mergeCell ref="A1:M1"/>
    <mergeCell ref="A2:M2"/>
    <mergeCell ref="B3:C3"/>
    <mergeCell ref="A5:M5"/>
    <mergeCell ref="A6:B6"/>
    <mergeCell ref="C6:D6"/>
    <mergeCell ref="E6:F6"/>
    <mergeCell ref="C10:D10"/>
    <mergeCell ref="E10:F10"/>
    <mergeCell ref="A11:B11"/>
    <mergeCell ref="C11:D11"/>
    <mergeCell ref="E11:F11"/>
    <mergeCell ref="G11:H11"/>
    <mergeCell ref="A13:D13"/>
    <mergeCell ref="A7:B7"/>
    <mergeCell ref="C7:D7"/>
    <mergeCell ref="E7:F7"/>
    <mergeCell ref="G7:H7"/>
    <mergeCell ref="L7:M7"/>
    <mergeCell ref="A9:M9"/>
    <mergeCell ref="A10:B10"/>
    <mergeCell ref="E35:F35"/>
    <mergeCell ref="G35:H35"/>
    <mergeCell ref="A36:B36"/>
    <mergeCell ref="C36:D36"/>
    <mergeCell ref="E36:F36"/>
    <mergeCell ref="G36:H36"/>
    <mergeCell ref="L36:M36"/>
    <mergeCell ref="G10:H10"/>
    <mergeCell ref="L10:M10"/>
    <mergeCell ref="L11:M11"/>
    <mergeCell ref="F13:M13"/>
    <mergeCell ref="A34:M34"/>
    <mergeCell ref="A35:B35"/>
    <mergeCell ref="C35:D35"/>
    <mergeCell ref="L35:M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6" t="s">
        <v>59</v>
      </c>
      <c r="B1" s="76" t="s">
        <v>60</v>
      </c>
      <c r="C1" s="76" t="s">
        <v>61</v>
      </c>
    </row>
    <row r="2" ht="15.75" customHeight="1">
      <c r="A2" s="77">
        <v>46017.65821841435</v>
      </c>
      <c r="B2" s="76" t="s">
        <v>62</v>
      </c>
      <c r="C2" s="76" t="s">
        <v>63</v>
      </c>
    </row>
    <row r="3" ht="15.75" customHeight="1">
      <c r="A3" s="77">
        <v>46017.533239930555</v>
      </c>
      <c r="B3" s="76" t="s">
        <v>62</v>
      </c>
      <c r="C3" s="76" t="s">
        <v>63</v>
      </c>
    </row>
    <row r="4" ht="15.75" customHeight="1">
      <c r="A4" s="77">
        <v>46017.40825212963</v>
      </c>
      <c r="B4" s="76" t="s">
        <v>62</v>
      </c>
      <c r="C4" s="76" t="s">
        <v>63</v>
      </c>
    </row>
    <row r="5" ht="15.75" customHeight="1">
      <c r="A5" s="77">
        <v>46017.28323112268</v>
      </c>
      <c r="B5" s="76" t="s">
        <v>62</v>
      </c>
      <c r="C5" s="76" t="s">
        <v>63</v>
      </c>
    </row>
    <row r="6" ht="15.75" customHeight="1">
      <c r="A6" s="77">
        <v>46017.15823872686</v>
      </c>
      <c r="B6" s="76" t="s">
        <v>62</v>
      </c>
      <c r="C6" s="76" t="s">
        <v>63</v>
      </c>
    </row>
    <row r="7" ht="15.75" customHeight="1">
      <c r="A7" s="77">
        <v>46017.03325628472</v>
      </c>
      <c r="B7" s="76" t="s">
        <v>62</v>
      </c>
      <c r="C7" s="76" t="s">
        <v>63</v>
      </c>
    </row>
    <row r="8" ht="15.75" customHeight="1">
      <c r="A8" s="77">
        <v>46016.90829314815</v>
      </c>
      <c r="B8" s="76" t="s">
        <v>62</v>
      </c>
      <c r="C8" s="76" t="s">
        <v>63</v>
      </c>
    </row>
    <row r="9" ht="15.75" customHeight="1">
      <c r="A9" s="77">
        <v>46016.78324130787</v>
      </c>
      <c r="B9" s="76" t="s">
        <v>62</v>
      </c>
      <c r="C9" s="76" t="s">
        <v>63</v>
      </c>
    </row>
    <row r="10" ht="15.75" customHeight="1">
      <c r="A10" s="77">
        <v>46016.658236550924</v>
      </c>
      <c r="B10" s="76" t="s">
        <v>62</v>
      </c>
      <c r="C10" s="76" t="s">
        <v>63</v>
      </c>
    </row>
    <row r="11" ht="15.75" customHeight="1">
      <c r="A11" s="77">
        <v>46016.53323533565</v>
      </c>
      <c r="B11" s="76" t="s">
        <v>62</v>
      </c>
      <c r="C11" s="76" t="s">
        <v>63</v>
      </c>
    </row>
    <row r="12" ht="15.75" customHeight="1">
      <c r="A12" s="77">
        <v>46016.40823642361</v>
      </c>
      <c r="B12" s="76" t="s">
        <v>62</v>
      </c>
      <c r="C12" s="76" t="s">
        <v>63</v>
      </c>
    </row>
    <row r="13" ht="15.75" customHeight="1">
      <c r="A13" s="77">
        <v>46016.283238449076</v>
      </c>
      <c r="B13" s="76" t="s">
        <v>62</v>
      </c>
      <c r="C13" s="76" t="s">
        <v>63</v>
      </c>
    </row>
    <row r="14" ht="15.75" customHeight="1">
      <c r="A14" s="77">
        <v>46016.15824390046</v>
      </c>
      <c r="B14" s="76" t="s">
        <v>62</v>
      </c>
      <c r="C14" s="76" t="s">
        <v>63</v>
      </c>
    </row>
    <row r="15" ht="15.75" customHeight="1">
      <c r="A15" s="77">
        <v>46016.03325770833</v>
      </c>
      <c r="B15" s="76" t="s">
        <v>62</v>
      </c>
      <c r="C15" s="76" t="s">
        <v>63</v>
      </c>
    </row>
    <row r="16" ht="15.75" customHeight="1">
      <c r="A16" s="77">
        <v>46015.90823645833</v>
      </c>
      <c r="B16" s="76" t="s">
        <v>62</v>
      </c>
      <c r="C16" s="76" t="s">
        <v>63</v>
      </c>
    </row>
    <row r="17" ht="15.75" customHeight="1">
      <c r="A17" s="77">
        <v>46015.78326267361</v>
      </c>
      <c r="B17" s="76" t="s">
        <v>62</v>
      </c>
      <c r="C17" s="76" t="s">
        <v>63</v>
      </c>
    </row>
    <row r="18" ht="15.75" customHeight="1">
      <c r="A18" s="77">
        <v>46015.658238958335</v>
      </c>
      <c r="B18" s="76" t="s">
        <v>62</v>
      </c>
      <c r="C18" s="76" t="s">
        <v>63</v>
      </c>
    </row>
    <row r="19" ht="15.75" customHeight="1">
      <c r="A19" s="77">
        <v>46015.533272141205</v>
      </c>
      <c r="B19" s="76" t="s">
        <v>62</v>
      </c>
      <c r="C19" s="76" t="s">
        <v>63</v>
      </c>
    </row>
    <row r="20" ht="15.75" customHeight="1">
      <c r="A20" s="77">
        <v>46015.40835357639</v>
      </c>
      <c r="B20" s="76" t="s">
        <v>62</v>
      </c>
      <c r="C20" s="76" t="s">
        <v>63</v>
      </c>
    </row>
    <row r="21" ht="15.75" customHeight="1">
      <c r="A21" s="77">
        <v>46015.2832371875</v>
      </c>
      <c r="B21" s="76" t="s">
        <v>62</v>
      </c>
      <c r="C21" s="76" t="s">
        <v>63</v>
      </c>
    </row>
    <row r="22" ht="15.75" customHeight="1">
      <c r="A22" s="77">
        <v>46015.15825581018</v>
      </c>
      <c r="B22" s="76" t="s">
        <v>62</v>
      </c>
      <c r="C22" s="76" t="s">
        <v>63</v>
      </c>
    </row>
    <row r="23" ht="15.75" customHeight="1">
      <c r="A23" s="77">
        <v>46015.03327003472</v>
      </c>
      <c r="B23" s="76" t="s">
        <v>62</v>
      </c>
      <c r="C23" s="76" t="s">
        <v>63</v>
      </c>
    </row>
    <row r="24" ht="15.75" customHeight="1">
      <c r="A24" s="77">
        <v>46014.90823540509</v>
      </c>
      <c r="B24" s="76" t="s">
        <v>62</v>
      </c>
      <c r="C24" s="76" t="s">
        <v>63</v>
      </c>
    </row>
    <row r="25" ht="15.75" customHeight="1">
      <c r="A25" s="77">
        <v>46014.78328846065</v>
      </c>
      <c r="B25" s="76" t="s">
        <v>62</v>
      </c>
      <c r="C25" s="76" t="s">
        <v>63</v>
      </c>
    </row>
    <row r="26" ht="15.75" customHeight="1">
      <c r="A26" s="77">
        <v>46014.6582374537</v>
      </c>
      <c r="B26" s="76" t="s">
        <v>62</v>
      </c>
      <c r="C26" s="76" t="s">
        <v>63</v>
      </c>
    </row>
    <row r="27" ht="15.75" customHeight="1">
      <c r="A27" s="77">
        <v>46014.53323414351</v>
      </c>
      <c r="B27" s="76" t="s">
        <v>62</v>
      </c>
      <c r="C27" s="76" t="s">
        <v>63</v>
      </c>
    </row>
    <row r="28" ht="15.75" customHeight="1">
      <c r="A28" s="77">
        <v>46014.408236006944</v>
      </c>
      <c r="B28" s="76" t="s">
        <v>62</v>
      </c>
      <c r="C28" s="76" t="s">
        <v>63</v>
      </c>
    </row>
    <row r="29" ht="15.75" customHeight="1">
      <c r="A29" s="77">
        <v>46014.28324755787</v>
      </c>
      <c r="B29" s="76" t="s">
        <v>62</v>
      </c>
      <c r="C29" s="76" t="s">
        <v>63</v>
      </c>
    </row>
    <row r="30" ht="15.75" customHeight="1">
      <c r="A30" s="77">
        <v>46014.15824319444</v>
      </c>
      <c r="B30" s="76" t="s">
        <v>62</v>
      </c>
      <c r="C30" s="76" t="s">
        <v>63</v>
      </c>
    </row>
    <row r="31" ht="15.75" customHeight="1">
      <c r="A31" s="77">
        <v>46014.03325523148</v>
      </c>
      <c r="B31" s="76" t="s">
        <v>62</v>
      </c>
      <c r="C31" s="76" t="s">
        <v>63</v>
      </c>
    </row>
    <row r="32" ht="15.75" customHeight="1">
      <c r="A32" s="77">
        <v>46013.90827640046</v>
      </c>
      <c r="B32" s="76" t="s">
        <v>62</v>
      </c>
      <c r="C32" s="76" t="s">
        <v>63</v>
      </c>
    </row>
    <row r="33" ht="15.75" customHeight="1">
      <c r="A33" s="77">
        <v>46013.783240185185</v>
      </c>
      <c r="B33" s="76" t="s">
        <v>62</v>
      </c>
      <c r="C33" s="76" t="s">
        <v>63</v>
      </c>
    </row>
    <row r="34" ht="15.75" customHeight="1">
      <c r="A34" s="77">
        <v>46013.658241006946</v>
      </c>
      <c r="B34" s="76" t="s">
        <v>62</v>
      </c>
      <c r="C34" s="76" t="s">
        <v>63</v>
      </c>
    </row>
    <row r="35" ht="15.75" customHeight="1">
      <c r="A35" s="77">
        <v>46013.53325972222</v>
      </c>
      <c r="B35" s="76" t="s">
        <v>62</v>
      </c>
      <c r="C35" s="76" t="s">
        <v>63</v>
      </c>
    </row>
    <row r="36" ht="15.75" customHeight="1">
      <c r="A36" s="77">
        <v>46013.40824892361</v>
      </c>
      <c r="B36" s="76" t="s">
        <v>62</v>
      </c>
      <c r="C36" s="76" t="s">
        <v>63</v>
      </c>
    </row>
    <row r="37" ht="15.75" customHeight="1">
      <c r="A37" s="77">
        <v>46013.28329245371</v>
      </c>
      <c r="B37" s="76" t="s">
        <v>62</v>
      </c>
      <c r="C37" s="76" t="s">
        <v>63</v>
      </c>
    </row>
    <row r="38" ht="15.75" customHeight="1">
      <c r="A38" s="77">
        <v>46013.15824609954</v>
      </c>
      <c r="B38" s="76" t="s">
        <v>62</v>
      </c>
      <c r="C38" s="76" t="s">
        <v>63</v>
      </c>
    </row>
    <row r="39" ht="15.75" customHeight="1">
      <c r="A39" s="77">
        <v>46013.03329121528</v>
      </c>
      <c r="B39" s="76" t="s">
        <v>62</v>
      </c>
      <c r="C39" s="76" t="s">
        <v>63</v>
      </c>
    </row>
    <row r="40" ht="15.75" customHeight="1">
      <c r="A40" s="77">
        <v>46012.90824618055</v>
      </c>
      <c r="B40" s="76" t="s">
        <v>62</v>
      </c>
      <c r="C40" s="76" t="s">
        <v>63</v>
      </c>
    </row>
    <row r="41" ht="15.75" customHeight="1">
      <c r="A41" s="77">
        <v>46012.78324133102</v>
      </c>
      <c r="B41" s="76" t="s">
        <v>62</v>
      </c>
      <c r="C41" s="76" t="s">
        <v>63</v>
      </c>
    </row>
    <row r="42" ht="15.75" customHeight="1">
      <c r="A42" s="77">
        <v>46012.65824730324</v>
      </c>
      <c r="B42" s="76" t="s">
        <v>62</v>
      </c>
      <c r="C42" s="76" t="s">
        <v>63</v>
      </c>
    </row>
    <row r="43" ht="15.75" customHeight="1">
      <c r="A43" s="77">
        <v>46012.53324178241</v>
      </c>
      <c r="B43" s="76" t="s">
        <v>62</v>
      </c>
      <c r="C43" s="76" t="s">
        <v>63</v>
      </c>
    </row>
    <row r="44" ht="15.75" customHeight="1">
      <c r="A44" s="77">
        <v>46012.40823674768</v>
      </c>
      <c r="B44" s="76" t="s">
        <v>62</v>
      </c>
      <c r="C44" s="76" t="s">
        <v>63</v>
      </c>
    </row>
    <row r="45" ht="15.75" customHeight="1">
      <c r="A45" s="77">
        <v>46012.283260578704</v>
      </c>
      <c r="B45" s="76" t="s">
        <v>62</v>
      </c>
      <c r="C45" s="76" t="s">
        <v>63</v>
      </c>
    </row>
    <row r="46" ht="15.75" customHeight="1">
      <c r="A46" s="77">
        <v>46012.15823799769</v>
      </c>
      <c r="B46" s="76" t="s">
        <v>62</v>
      </c>
      <c r="C46" s="76" t="s">
        <v>63</v>
      </c>
    </row>
    <row r="47" ht="15.75" customHeight="1">
      <c r="A47" s="77">
        <v>46012.03324834491</v>
      </c>
      <c r="B47" s="76" t="s">
        <v>62</v>
      </c>
      <c r="C47" s="76" t="s">
        <v>63</v>
      </c>
    </row>
    <row r="48" ht="15.75" customHeight="1">
      <c r="A48" s="77">
        <v>46011.90826653935</v>
      </c>
      <c r="B48" s="76" t="s">
        <v>62</v>
      </c>
      <c r="C48" s="76" t="s">
        <v>63</v>
      </c>
    </row>
    <row r="49" ht="15.75" customHeight="1">
      <c r="A49" s="77">
        <v>46011.78324957176</v>
      </c>
      <c r="B49" s="76" t="s">
        <v>62</v>
      </c>
      <c r="C49" s="76" t="s">
        <v>63</v>
      </c>
    </row>
    <row r="50" ht="15.75" customHeight="1">
      <c r="A50" s="77">
        <v>46011.65827289352</v>
      </c>
      <c r="B50" s="76" t="s">
        <v>62</v>
      </c>
      <c r="C50" s="76" t="s">
        <v>63</v>
      </c>
    </row>
    <row r="51" ht="15.75" customHeight="1">
      <c r="A51" s="77">
        <v>46011.53323565972</v>
      </c>
      <c r="B51" s="76" t="s">
        <v>62</v>
      </c>
      <c r="C51" s="76" t="s">
        <v>63</v>
      </c>
    </row>
    <row r="52" ht="15.75" customHeight="1">
      <c r="A52" s="77">
        <v>46011.40829402777</v>
      </c>
      <c r="B52" s="76" t="s">
        <v>62</v>
      </c>
      <c r="C52" s="76" t="s">
        <v>63</v>
      </c>
    </row>
    <row r="53" ht="15.75" customHeight="1">
      <c r="A53" s="77">
        <v>46011.28326646991</v>
      </c>
      <c r="B53" s="76" t="s">
        <v>62</v>
      </c>
      <c r="C53" s="76" t="s">
        <v>63</v>
      </c>
    </row>
    <row r="54" ht="15.75" customHeight="1">
      <c r="A54" s="77">
        <v>46011.158226354164</v>
      </c>
      <c r="B54" s="76" t="s">
        <v>62</v>
      </c>
      <c r="C54" s="76" t="s">
        <v>63</v>
      </c>
    </row>
    <row r="55" ht="15.75" customHeight="1">
      <c r="A55" s="77">
        <v>46011.03325695602</v>
      </c>
      <c r="B55" s="76" t="s">
        <v>62</v>
      </c>
      <c r="C55" s="76" t="s">
        <v>63</v>
      </c>
    </row>
    <row r="56" ht="15.75" customHeight="1">
      <c r="A56" s="77">
        <v>46010.90825787037</v>
      </c>
      <c r="B56" s="76" t="s">
        <v>62</v>
      </c>
      <c r="C56" s="76" t="s">
        <v>63</v>
      </c>
    </row>
    <row r="57" ht="15.75" customHeight="1">
      <c r="A57" s="77">
        <v>46010.78323917824</v>
      </c>
      <c r="B57" s="76" t="s">
        <v>62</v>
      </c>
      <c r="C57" s="76" t="s">
        <v>63</v>
      </c>
    </row>
    <row r="58" ht="15.75" customHeight="1">
      <c r="A58" s="77">
        <v>46010.65825666666</v>
      </c>
      <c r="B58" s="76" t="s">
        <v>62</v>
      </c>
      <c r="C58" s="76" t="s">
        <v>63</v>
      </c>
    </row>
    <row r="59" ht="15.75" customHeight="1">
      <c r="A59" s="77">
        <v>46010.53324101852</v>
      </c>
      <c r="B59" s="76" t="s">
        <v>62</v>
      </c>
      <c r="C59" s="76" t="s">
        <v>63</v>
      </c>
    </row>
    <row r="60" ht="15.75" customHeight="1">
      <c r="A60" s="77">
        <v>46010.514541944445</v>
      </c>
      <c r="B60" s="76" t="s">
        <v>62</v>
      </c>
      <c r="C60" s="76" t="s">
        <v>63</v>
      </c>
    </row>
    <row r="61" ht="15.75" customHeight="1">
      <c r="A61" s="78"/>
      <c r="B61" s="79"/>
      <c r="C61" s="79"/>
    </row>
    <row r="62" ht="15.75" customHeight="1">
      <c r="A62" s="78"/>
      <c r="B62" s="79"/>
      <c r="C62" s="79"/>
    </row>
    <row r="63" ht="15.75" customHeight="1">
      <c r="A63" s="78"/>
      <c r="B63" s="79"/>
      <c r="C63" s="79"/>
    </row>
    <row r="64" ht="15.75" customHeight="1">
      <c r="A64" s="78"/>
      <c r="B64" s="79"/>
      <c r="C64" s="79"/>
    </row>
    <row r="65" ht="15.75" customHeight="1">
      <c r="A65" s="78"/>
      <c r="B65" s="79"/>
      <c r="C65" s="79"/>
    </row>
    <row r="66" ht="15.75" customHeight="1">
      <c r="A66" s="78"/>
      <c r="B66" s="79"/>
      <c r="C66" s="79"/>
    </row>
    <row r="67" ht="15.75" customHeight="1">
      <c r="A67" s="78"/>
      <c r="B67" s="79"/>
      <c r="C67" s="79"/>
    </row>
    <row r="68" ht="15.75" customHeight="1">
      <c r="A68" s="78"/>
      <c r="B68" s="79"/>
      <c r="C68" s="79"/>
    </row>
    <row r="69" ht="15.75" customHeight="1">
      <c r="A69" s="78"/>
      <c r="B69" s="79"/>
      <c r="C69" s="79"/>
    </row>
    <row r="70" ht="15.75" customHeight="1">
      <c r="A70" s="78"/>
      <c r="B70" s="79"/>
      <c r="C70" s="79"/>
    </row>
    <row r="71" ht="15.75" customHeight="1">
      <c r="A71" s="78"/>
      <c r="B71" s="79"/>
      <c r="C71" s="79"/>
    </row>
    <row r="72" ht="15.75" customHeight="1">
      <c r="A72" s="78"/>
      <c r="B72" s="79"/>
      <c r="C72" s="79"/>
    </row>
    <row r="73" ht="15.75" customHeight="1">
      <c r="A73" s="78"/>
      <c r="B73" s="79"/>
      <c r="C73" s="79"/>
    </row>
    <row r="74" ht="15.75" customHeight="1">
      <c r="A74" s="78"/>
      <c r="B74" s="79"/>
      <c r="C74" s="79"/>
    </row>
    <row r="75" ht="15.75" customHeight="1">
      <c r="A75" s="78"/>
      <c r="B75" s="79"/>
      <c r="C75" s="79"/>
    </row>
    <row r="76" ht="15.75" customHeight="1">
      <c r="A76" s="78"/>
      <c r="B76" s="79"/>
      <c r="C76" s="79"/>
    </row>
    <row r="77" ht="15.75" customHeight="1">
      <c r="A77" s="78"/>
      <c r="B77" s="79"/>
      <c r="C77" s="79"/>
    </row>
    <row r="78" ht="15.75" customHeight="1">
      <c r="A78" s="78"/>
      <c r="B78" s="79"/>
      <c r="C78" s="79"/>
    </row>
    <row r="79" ht="15.75" customHeight="1">
      <c r="A79" s="78"/>
      <c r="B79" s="79"/>
      <c r="C79" s="79"/>
    </row>
    <row r="80" ht="15.75" customHeight="1">
      <c r="A80" s="78"/>
      <c r="B80" s="79"/>
      <c r="C80" s="79"/>
    </row>
    <row r="81" ht="15.75" customHeight="1">
      <c r="A81" s="78"/>
      <c r="B81" s="79"/>
      <c r="C81" s="79"/>
    </row>
    <row r="82" ht="15.75" customHeight="1">
      <c r="A82" s="78"/>
      <c r="B82" s="79"/>
      <c r="C82" s="79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41.5"/>
    <col customWidth="1" min="3" max="3" width="21.63"/>
    <col customWidth="1" min="4" max="6" width="12.63"/>
    <col customWidth="1" min="8" max="8" width="19.25"/>
  </cols>
  <sheetData>
    <row r="1" ht="15.75" customHeight="1">
      <c r="A1" s="80" t="s">
        <v>24</v>
      </c>
      <c r="B1" s="80" t="s">
        <v>64</v>
      </c>
      <c r="C1" s="80" t="s">
        <v>65</v>
      </c>
      <c r="D1" s="80" t="s">
        <v>66</v>
      </c>
      <c r="E1" s="80" t="s">
        <v>67</v>
      </c>
      <c r="F1" s="80" t="s">
        <v>68</v>
      </c>
      <c r="G1" s="80" t="s">
        <v>69</v>
      </c>
      <c r="H1" s="81" t="s">
        <v>70</v>
      </c>
      <c r="I1" s="82" t="s">
        <v>71</v>
      </c>
      <c r="J1" s="82" t="s">
        <v>72</v>
      </c>
      <c r="K1" s="82" t="s">
        <v>73</v>
      </c>
      <c r="L1" s="82" t="s">
        <v>74</v>
      </c>
      <c r="M1" s="82" t="s">
        <v>75</v>
      </c>
      <c r="N1" s="82" t="s">
        <v>76</v>
      </c>
      <c r="O1" s="82" t="s">
        <v>77</v>
      </c>
      <c r="P1" s="82" t="s">
        <v>78</v>
      </c>
      <c r="Q1" s="82" t="s">
        <v>79</v>
      </c>
      <c r="R1" s="82" t="s">
        <v>80</v>
      </c>
      <c r="S1" s="82" t="s">
        <v>81</v>
      </c>
      <c r="T1" s="82" t="s">
        <v>82</v>
      </c>
      <c r="U1" s="82" t="s">
        <v>83</v>
      </c>
      <c r="V1" s="82" t="s">
        <v>84</v>
      </c>
      <c r="W1" s="82" t="s">
        <v>85</v>
      </c>
      <c r="X1" s="80" t="s">
        <v>86</v>
      </c>
      <c r="Y1" s="80" t="s">
        <v>87</v>
      </c>
      <c r="Z1" s="83" t="s">
        <v>88</v>
      </c>
    </row>
    <row r="2" ht="80.25" customHeight="1">
      <c r="A2" s="84" t="s">
        <v>36</v>
      </c>
      <c r="B2" s="84" t="s">
        <v>89</v>
      </c>
      <c r="C2" s="84" t="s">
        <v>90</v>
      </c>
      <c r="D2" s="84" t="s">
        <v>91</v>
      </c>
      <c r="E2" s="84" t="s">
        <v>92</v>
      </c>
      <c r="F2" s="85">
        <v>45856.0</v>
      </c>
      <c r="G2" s="85">
        <v>45881.0</v>
      </c>
      <c r="H2" s="86" t="s">
        <v>93</v>
      </c>
      <c r="I2" s="84">
        <v>134698.0</v>
      </c>
      <c r="J2" s="84">
        <v>85503.0</v>
      </c>
      <c r="K2" s="84">
        <v>85503.0</v>
      </c>
      <c r="L2" s="84">
        <v>92067.0</v>
      </c>
      <c r="M2" s="84">
        <v>58442.0</v>
      </c>
      <c r="N2" s="84">
        <v>58442.0</v>
      </c>
      <c r="O2" s="84">
        <f t="shared" ref="O2:O12" si="1">L2+M2+N2</f>
        <v>208951</v>
      </c>
      <c r="P2" s="84">
        <v>20000.0</v>
      </c>
      <c r="Q2" s="84">
        <v>10000.0</v>
      </c>
      <c r="R2" s="84">
        <v>10000.0</v>
      </c>
      <c r="S2" s="87">
        <f t="shared" ref="S2:S12" si="2">P2+Q2+R2</f>
        <v>40000</v>
      </c>
      <c r="T2" s="87"/>
      <c r="U2" s="87"/>
      <c r="V2" s="88">
        <f t="shared" ref="V2:V12" si="3">T2+U2</f>
        <v>0</v>
      </c>
      <c r="W2" s="88">
        <f t="shared" ref="W2:W12" si="4">V2+S2+O2+K2+J2+I2</f>
        <v>554655</v>
      </c>
      <c r="X2" s="87"/>
      <c r="Y2" s="87" t="s">
        <v>94</v>
      </c>
      <c r="Z2" s="89" t="s">
        <v>95</v>
      </c>
    </row>
    <row r="3" ht="48.75" customHeight="1">
      <c r="A3" s="84" t="s">
        <v>96</v>
      </c>
      <c r="B3" s="84" t="s">
        <v>97</v>
      </c>
      <c r="C3" s="84" t="s">
        <v>98</v>
      </c>
      <c r="D3" s="84" t="s">
        <v>99</v>
      </c>
      <c r="E3" s="84" t="s">
        <v>35</v>
      </c>
      <c r="F3" s="85">
        <v>45930.0</v>
      </c>
      <c r="G3" s="85">
        <v>45945.0</v>
      </c>
      <c r="H3" s="86" t="s">
        <v>100</v>
      </c>
      <c r="I3" s="84">
        <v>112933.0</v>
      </c>
      <c r="J3" s="84">
        <v>8351699.0</v>
      </c>
      <c r="K3" s="84">
        <v>8351699.0</v>
      </c>
      <c r="L3" s="84">
        <v>121633.0</v>
      </c>
      <c r="M3" s="84">
        <v>8995123.0</v>
      </c>
      <c r="N3" s="84">
        <v>8995123.0</v>
      </c>
      <c r="O3" s="84">
        <f t="shared" si="1"/>
        <v>18111879</v>
      </c>
      <c r="P3" s="84">
        <v>112933.0</v>
      </c>
      <c r="Q3" s="84">
        <v>8351699.0</v>
      </c>
      <c r="R3" s="84">
        <v>8351699.0</v>
      </c>
      <c r="S3" s="87">
        <f t="shared" si="2"/>
        <v>16816331</v>
      </c>
      <c r="T3" s="87"/>
      <c r="U3" s="87"/>
      <c r="V3" s="88">
        <f t="shared" si="3"/>
        <v>0</v>
      </c>
      <c r="W3" s="88">
        <f t="shared" si="4"/>
        <v>51744541</v>
      </c>
      <c r="X3" s="87"/>
      <c r="Y3" s="87" t="s">
        <v>94</v>
      </c>
      <c r="Z3" s="89" t="s">
        <v>101</v>
      </c>
    </row>
    <row r="4" ht="48.75" customHeight="1">
      <c r="A4" s="84" t="s">
        <v>102</v>
      </c>
      <c r="B4" s="84" t="s">
        <v>103</v>
      </c>
      <c r="C4" s="90" t="s">
        <v>104</v>
      </c>
      <c r="D4" s="84" t="s">
        <v>99</v>
      </c>
      <c r="E4" s="84" t="s">
        <v>35</v>
      </c>
      <c r="F4" s="91">
        <v>45486.0</v>
      </c>
      <c r="G4" s="91">
        <v>45487.0</v>
      </c>
      <c r="H4" s="86" t="s">
        <v>105</v>
      </c>
      <c r="I4" s="88">
        <v>130091.0</v>
      </c>
      <c r="J4" s="88">
        <v>1.2634437E7</v>
      </c>
      <c r="K4" s="88">
        <v>1.2634437E7</v>
      </c>
      <c r="L4" s="88">
        <v>109255.0</v>
      </c>
      <c r="M4" s="88">
        <v>1.061085E7</v>
      </c>
      <c r="N4" s="88">
        <v>1.061085E7</v>
      </c>
      <c r="O4" s="88">
        <f t="shared" si="1"/>
        <v>21330955</v>
      </c>
      <c r="P4" s="88">
        <v>20000.0</v>
      </c>
      <c r="Q4" s="88">
        <v>1263444.0</v>
      </c>
      <c r="R4" s="88">
        <v>1263444.0</v>
      </c>
      <c r="S4" s="92">
        <f t="shared" si="2"/>
        <v>2546888</v>
      </c>
      <c r="T4" s="88">
        <v>0.0</v>
      </c>
      <c r="U4" s="87"/>
      <c r="V4" s="88">
        <f t="shared" si="3"/>
        <v>0</v>
      </c>
      <c r="W4" s="88">
        <f t="shared" si="4"/>
        <v>49276808</v>
      </c>
      <c r="X4" s="87"/>
      <c r="Y4" s="87" t="s">
        <v>94</v>
      </c>
      <c r="Z4" s="93" t="s">
        <v>106</v>
      </c>
    </row>
    <row r="5" ht="58.5" customHeight="1">
      <c r="A5" s="84" t="s">
        <v>107</v>
      </c>
      <c r="B5" s="84" t="s">
        <v>108</v>
      </c>
      <c r="C5" s="84" t="s">
        <v>109</v>
      </c>
      <c r="D5" s="84" t="s">
        <v>110</v>
      </c>
      <c r="E5" s="84" t="s">
        <v>35</v>
      </c>
      <c r="F5" s="85">
        <v>45715.0</v>
      </c>
      <c r="G5" s="85">
        <v>45746.0</v>
      </c>
      <c r="H5" s="86" t="s">
        <v>111</v>
      </c>
      <c r="I5" s="84">
        <v>342579.0</v>
      </c>
      <c r="J5" s="84">
        <v>139853.0</v>
      </c>
      <c r="K5" s="84">
        <v>139853.0</v>
      </c>
      <c r="L5" s="84">
        <v>267607.0</v>
      </c>
      <c r="M5" s="84">
        <v>109246.0</v>
      </c>
      <c r="N5" s="84">
        <v>109246.0</v>
      </c>
      <c r="O5" s="84">
        <f t="shared" si="1"/>
        <v>486099</v>
      </c>
      <c r="P5" s="84">
        <v>34258.0</v>
      </c>
      <c r="Q5" s="84">
        <v>38985.0</v>
      </c>
      <c r="R5" s="84">
        <v>38985.0</v>
      </c>
      <c r="S5" s="87">
        <f t="shared" si="2"/>
        <v>112228</v>
      </c>
      <c r="T5" s="84">
        <v>809645.0</v>
      </c>
      <c r="U5" s="87">
        <v>809645.0</v>
      </c>
      <c r="V5" s="88">
        <f t="shared" si="3"/>
        <v>1619290</v>
      </c>
      <c r="W5" s="88">
        <f t="shared" si="4"/>
        <v>2839902</v>
      </c>
      <c r="X5" s="84">
        <f>34258+13986+13986</f>
        <v>62230</v>
      </c>
      <c r="Y5" s="87" t="s">
        <v>94</v>
      </c>
      <c r="Z5" s="93" t="s">
        <v>112</v>
      </c>
    </row>
    <row r="6" ht="48.75" customHeight="1">
      <c r="A6" s="84" t="s">
        <v>113</v>
      </c>
      <c r="B6" s="84" t="s">
        <v>114</v>
      </c>
      <c r="C6" s="84" t="s">
        <v>115</v>
      </c>
      <c r="D6" s="84" t="s">
        <v>116</v>
      </c>
      <c r="E6" s="84" t="s">
        <v>35</v>
      </c>
      <c r="F6" s="91">
        <v>45291.0</v>
      </c>
      <c r="G6" s="91">
        <v>45382.0</v>
      </c>
      <c r="H6" s="86" t="s">
        <v>117</v>
      </c>
      <c r="I6" s="84">
        <v>1.9833242E7</v>
      </c>
      <c r="J6" s="84">
        <v>9235140.0</v>
      </c>
      <c r="K6" s="84">
        <f>J6</f>
        <v>9235140</v>
      </c>
      <c r="L6" s="84">
        <v>2.2172902E7</v>
      </c>
      <c r="M6" s="84">
        <v>1.6545672E7</v>
      </c>
      <c r="N6" s="84">
        <v>1.6637234E7</v>
      </c>
      <c r="O6" s="84">
        <f t="shared" si="1"/>
        <v>55355808</v>
      </c>
      <c r="P6" s="84">
        <v>1983324.0</v>
      </c>
      <c r="Q6" s="84">
        <v>828245.0</v>
      </c>
      <c r="R6" s="84">
        <f>Q6</f>
        <v>828245</v>
      </c>
      <c r="S6" s="87">
        <f t="shared" si="2"/>
        <v>3639814</v>
      </c>
      <c r="T6" s="84">
        <v>16475.0</v>
      </c>
      <c r="U6" s="87">
        <v>16475.0</v>
      </c>
      <c r="V6" s="88">
        <f t="shared" si="3"/>
        <v>32950</v>
      </c>
      <c r="W6" s="88">
        <f t="shared" si="4"/>
        <v>97332094</v>
      </c>
      <c r="X6" s="94">
        <v>3830353.0</v>
      </c>
      <c r="Y6" s="87" t="s">
        <v>94</v>
      </c>
      <c r="Z6" s="89" t="s">
        <v>118</v>
      </c>
    </row>
    <row r="7" ht="48.75" customHeight="1">
      <c r="A7" s="84" t="s">
        <v>119</v>
      </c>
      <c r="B7" s="84" t="s">
        <v>120</v>
      </c>
      <c r="C7" s="84" t="s">
        <v>121</v>
      </c>
      <c r="D7" s="84" t="s">
        <v>116</v>
      </c>
      <c r="E7" s="84" t="s">
        <v>35</v>
      </c>
      <c r="F7" s="91">
        <v>45509.0</v>
      </c>
      <c r="G7" s="91">
        <v>45541.0</v>
      </c>
      <c r="H7" s="86" t="s">
        <v>122</v>
      </c>
      <c r="I7" s="84">
        <v>6671519.0</v>
      </c>
      <c r="J7" s="84">
        <v>0.0</v>
      </c>
      <c r="K7" s="84">
        <v>0.0</v>
      </c>
      <c r="L7" s="84">
        <v>8060657.93</v>
      </c>
      <c r="M7" s="84">
        <v>0.0</v>
      </c>
      <c r="N7" s="84">
        <v>0.0</v>
      </c>
      <c r="O7" s="84">
        <f t="shared" si="1"/>
        <v>8060657.93</v>
      </c>
      <c r="P7" s="84">
        <v>6671519.6</v>
      </c>
      <c r="Q7" s="84">
        <v>0.0</v>
      </c>
      <c r="R7" s="84">
        <v>0.0</v>
      </c>
      <c r="S7" s="87">
        <f t="shared" si="2"/>
        <v>6671519.6</v>
      </c>
      <c r="T7" s="84">
        <v>0.0</v>
      </c>
      <c r="U7" s="87"/>
      <c r="V7" s="88">
        <f t="shared" si="3"/>
        <v>0</v>
      </c>
      <c r="W7" s="88">
        <f t="shared" si="4"/>
        <v>21403696.53</v>
      </c>
      <c r="X7" s="95">
        <v>667152.0</v>
      </c>
      <c r="Y7" s="87" t="s">
        <v>94</v>
      </c>
      <c r="Z7" s="93" t="s">
        <v>123</v>
      </c>
    </row>
    <row r="8" ht="48.75" customHeight="1">
      <c r="A8" s="84" t="s">
        <v>40</v>
      </c>
      <c r="B8" s="86" t="s">
        <v>124</v>
      </c>
      <c r="C8" s="84" t="s">
        <v>125</v>
      </c>
      <c r="D8" s="84" t="s">
        <v>126</v>
      </c>
      <c r="E8" s="84" t="s">
        <v>35</v>
      </c>
      <c r="F8" s="85">
        <v>45741.0</v>
      </c>
      <c r="G8" s="85">
        <v>45771.0</v>
      </c>
      <c r="H8" s="86" t="s">
        <v>127</v>
      </c>
      <c r="I8" s="87"/>
      <c r="J8" s="84">
        <v>50299.0</v>
      </c>
      <c r="K8" s="84">
        <v>50299.0</v>
      </c>
      <c r="L8" s="87"/>
      <c r="M8" s="84">
        <v>5281.0</v>
      </c>
      <c r="N8" s="84">
        <v>5281.0</v>
      </c>
      <c r="O8" s="84">
        <f t="shared" si="1"/>
        <v>10562</v>
      </c>
      <c r="P8" s="87"/>
      <c r="Q8" s="84">
        <v>5030.0</v>
      </c>
      <c r="R8" s="84">
        <v>5030.0</v>
      </c>
      <c r="S8" s="87">
        <f t="shared" si="2"/>
        <v>10060</v>
      </c>
      <c r="T8" s="87"/>
      <c r="U8" s="87"/>
      <c r="V8" s="88">
        <f t="shared" si="3"/>
        <v>0</v>
      </c>
      <c r="W8" s="88">
        <f t="shared" si="4"/>
        <v>121220</v>
      </c>
      <c r="X8" s="87"/>
      <c r="Y8" s="87" t="s">
        <v>94</v>
      </c>
      <c r="Z8" s="89" t="s">
        <v>128</v>
      </c>
    </row>
    <row r="9" ht="48.75" customHeight="1">
      <c r="A9" s="84" t="s">
        <v>129</v>
      </c>
      <c r="B9" s="84" t="s">
        <v>130</v>
      </c>
      <c r="C9" s="90" t="s">
        <v>131</v>
      </c>
      <c r="D9" s="84" t="s">
        <v>132</v>
      </c>
      <c r="E9" s="84" t="s">
        <v>35</v>
      </c>
      <c r="F9" s="91" t="s">
        <v>133</v>
      </c>
      <c r="G9" s="91" t="s">
        <v>134</v>
      </c>
      <c r="H9" s="96" t="s">
        <v>135</v>
      </c>
      <c r="I9" s="88">
        <v>186613.0</v>
      </c>
      <c r="J9" s="88">
        <v>1946671.0</v>
      </c>
      <c r="K9" s="88">
        <v>1946671.0</v>
      </c>
      <c r="L9" s="88">
        <v>201542.0</v>
      </c>
      <c r="M9" s="88">
        <v>2102405.0</v>
      </c>
      <c r="N9" s="97">
        <v>2102405.0</v>
      </c>
      <c r="O9" s="88">
        <f t="shared" si="1"/>
        <v>4406352</v>
      </c>
      <c r="P9" s="88">
        <v>18661.0</v>
      </c>
      <c r="Q9" s="88">
        <v>219667.0</v>
      </c>
      <c r="R9" s="88">
        <v>219667.0</v>
      </c>
      <c r="S9" s="92">
        <f t="shared" si="2"/>
        <v>457995</v>
      </c>
      <c r="T9" s="88">
        <v>0.0</v>
      </c>
      <c r="U9" s="87"/>
      <c r="V9" s="88">
        <f t="shared" si="3"/>
        <v>0</v>
      </c>
      <c r="W9" s="88">
        <f t="shared" si="4"/>
        <v>8944302</v>
      </c>
      <c r="X9" s="88">
        <v>407998.0</v>
      </c>
      <c r="Y9" s="87" t="s">
        <v>94</v>
      </c>
      <c r="Z9" s="93" t="s">
        <v>123</v>
      </c>
    </row>
    <row r="10" ht="48.75" customHeight="1">
      <c r="A10" s="84" t="s">
        <v>136</v>
      </c>
      <c r="B10" s="84" t="s">
        <v>137</v>
      </c>
      <c r="C10" s="90" t="s">
        <v>138</v>
      </c>
      <c r="D10" s="84" t="s">
        <v>139</v>
      </c>
      <c r="E10" s="84" t="s">
        <v>37</v>
      </c>
      <c r="F10" s="85">
        <v>45631.0</v>
      </c>
      <c r="G10" s="85">
        <v>45661.0</v>
      </c>
      <c r="H10" s="86" t="s">
        <v>140</v>
      </c>
      <c r="I10" s="98"/>
      <c r="J10" s="99">
        <f>(49425+1163715)/2</f>
        <v>606570</v>
      </c>
      <c r="K10" s="99">
        <f t="shared" ref="K10:K12" si="5">+J10</f>
        <v>606570</v>
      </c>
      <c r="L10" s="92"/>
      <c r="M10" s="92"/>
      <c r="N10" s="92"/>
      <c r="O10" s="88">
        <f t="shared" si="1"/>
        <v>0</v>
      </c>
      <c r="P10" s="92"/>
      <c r="Q10" s="92"/>
      <c r="R10" s="92"/>
      <c r="S10" s="92">
        <f t="shared" si="2"/>
        <v>0</v>
      </c>
      <c r="T10" s="92"/>
      <c r="U10" s="87"/>
      <c r="V10" s="88">
        <f t="shared" si="3"/>
        <v>0</v>
      </c>
      <c r="W10" s="88">
        <f t="shared" si="4"/>
        <v>1213140</v>
      </c>
      <c r="X10" s="92"/>
      <c r="Y10" s="87" t="s">
        <v>94</v>
      </c>
      <c r="Z10" s="84" t="s">
        <v>141</v>
      </c>
    </row>
    <row r="11" ht="48.75" customHeight="1">
      <c r="A11" s="84" t="s">
        <v>142</v>
      </c>
      <c r="B11" s="84" t="s">
        <v>143</v>
      </c>
      <c r="C11" s="87"/>
      <c r="D11" s="84" t="s">
        <v>116</v>
      </c>
      <c r="E11" s="84" t="s">
        <v>35</v>
      </c>
      <c r="F11" s="91">
        <v>45290.0</v>
      </c>
      <c r="G11" s="91">
        <f t="shared" ref="G11:G12" si="6">F11+90</f>
        <v>45380</v>
      </c>
      <c r="H11" s="96" t="s">
        <v>144</v>
      </c>
      <c r="I11" s="92"/>
      <c r="J11" s="88">
        <v>2227492.0</v>
      </c>
      <c r="K11" s="88">
        <f t="shared" si="5"/>
        <v>2227492</v>
      </c>
      <c r="L11" s="88">
        <v>0.0</v>
      </c>
      <c r="M11" s="88">
        <v>0.0</v>
      </c>
      <c r="N11" s="88">
        <v>0.0</v>
      </c>
      <c r="O11" s="88">
        <f t="shared" si="1"/>
        <v>0</v>
      </c>
      <c r="P11" s="88">
        <v>0.0</v>
      </c>
      <c r="Q11" s="88">
        <v>248749.0</v>
      </c>
      <c r="R11" s="88">
        <f t="shared" ref="R11:R12" si="7">+Q11</f>
        <v>248749</v>
      </c>
      <c r="S11" s="92">
        <f t="shared" si="2"/>
        <v>497498</v>
      </c>
      <c r="T11" s="88">
        <v>0.0</v>
      </c>
      <c r="U11" s="87"/>
      <c r="V11" s="88">
        <f t="shared" si="3"/>
        <v>0</v>
      </c>
      <c r="W11" s="88">
        <f t="shared" si="4"/>
        <v>4952482</v>
      </c>
      <c r="X11" s="88">
        <v>445500.0</v>
      </c>
      <c r="Y11" s="87" t="s">
        <v>94</v>
      </c>
      <c r="Z11" s="84" t="s">
        <v>145</v>
      </c>
    </row>
    <row r="12" ht="48.75" customHeight="1">
      <c r="A12" s="84" t="s">
        <v>146</v>
      </c>
      <c r="B12" s="84" t="s">
        <v>147</v>
      </c>
      <c r="C12" s="87"/>
      <c r="D12" s="84" t="s">
        <v>132</v>
      </c>
      <c r="E12" s="84" t="s">
        <v>35</v>
      </c>
      <c r="F12" s="91">
        <v>45290.0</v>
      </c>
      <c r="G12" s="91">
        <f t="shared" si="6"/>
        <v>45380</v>
      </c>
      <c r="H12" s="96" t="s">
        <v>148</v>
      </c>
      <c r="I12" s="92"/>
      <c r="J12" s="88">
        <v>430576.0</v>
      </c>
      <c r="K12" s="88">
        <f t="shared" si="5"/>
        <v>430576</v>
      </c>
      <c r="L12" s="92"/>
      <c r="M12" s="92"/>
      <c r="N12" s="92"/>
      <c r="O12" s="88">
        <f t="shared" si="1"/>
        <v>0</v>
      </c>
      <c r="P12" s="92"/>
      <c r="Q12" s="88">
        <v>43058.0</v>
      </c>
      <c r="R12" s="88">
        <f t="shared" si="7"/>
        <v>43058</v>
      </c>
      <c r="S12" s="92">
        <f t="shared" si="2"/>
        <v>86116</v>
      </c>
      <c r="T12" s="88">
        <v>0.0</v>
      </c>
      <c r="U12" s="87"/>
      <c r="V12" s="88">
        <f t="shared" si="3"/>
        <v>0</v>
      </c>
      <c r="W12" s="88">
        <f t="shared" si="4"/>
        <v>947268</v>
      </c>
      <c r="X12" s="88">
        <v>86116.0</v>
      </c>
      <c r="Y12" s="87" t="s">
        <v>94</v>
      </c>
      <c r="Z12" s="84" t="s">
        <v>145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2">
    <sortState ref="A1:Z12">
      <sortCondition ref="A1:A12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0"/>
    <col customWidth="1" min="2" max="2" width="16.38"/>
    <col customWidth="1" min="3" max="3" width="18.88"/>
    <col customWidth="1" min="4" max="4" width="16.38"/>
    <col customWidth="1" min="5" max="5" width="22.13"/>
    <col customWidth="1" min="6" max="14" width="13.88"/>
    <col customWidth="1" min="15" max="15" width="16.38"/>
    <col customWidth="1" min="16" max="16" width="16.63"/>
    <col customWidth="1" min="17" max="17" width="15.13"/>
    <col customWidth="1" min="18" max="18" width="53.25"/>
    <col customWidth="1" hidden="1" min="19" max="19" width="74.25"/>
    <col customWidth="1" hidden="1" min="20" max="20" width="74.75"/>
    <col customWidth="1" hidden="1" min="21" max="21" width="37.63"/>
    <col customWidth="1" hidden="1" min="22" max="22" width="80.13"/>
    <col customWidth="1" hidden="1" min="23" max="23" width="64.13"/>
    <col customWidth="1" hidden="1" min="24" max="24" width="28.75"/>
  </cols>
  <sheetData>
    <row r="1" ht="30.0" customHeight="1">
      <c r="A1" s="100" t="s">
        <v>149</v>
      </c>
      <c r="V1" s="101"/>
      <c r="W1" s="102"/>
      <c r="X1" s="103" t="s">
        <v>150</v>
      </c>
    </row>
    <row r="2" ht="39.0" customHeight="1">
      <c r="A2" s="104"/>
      <c r="B2" s="105" t="s">
        <v>24</v>
      </c>
      <c r="C2" s="105" t="s">
        <v>151</v>
      </c>
      <c r="D2" s="105" t="s">
        <v>152</v>
      </c>
      <c r="E2" s="104" t="s">
        <v>153</v>
      </c>
      <c r="F2" s="105" t="s">
        <v>66</v>
      </c>
      <c r="G2" s="104" t="s">
        <v>154</v>
      </c>
      <c r="H2" s="105" t="s">
        <v>155</v>
      </c>
      <c r="I2" s="105" t="s">
        <v>156</v>
      </c>
      <c r="J2" s="105" t="s">
        <v>157</v>
      </c>
      <c r="K2" s="105" t="s">
        <v>158</v>
      </c>
      <c r="L2" s="105" t="s">
        <v>159</v>
      </c>
      <c r="M2" s="105" t="s">
        <v>160</v>
      </c>
      <c r="N2" s="105" t="s">
        <v>161</v>
      </c>
      <c r="O2" s="105" t="s">
        <v>162</v>
      </c>
      <c r="P2" s="105" t="s">
        <v>163</v>
      </c>
      <c r="Q2" s="105" t="s">
        <v>164</v>
      </c>
      <c r="R2" s="105" t="s">
        <v>165</v>
      </c>
      <c r="S2" s="105" t="s">
        <v>166</v>
      </c>
      <c r="T2" s="105" t="s">
        <v>167</v>
      </c>
      <c r="U2" s="105" t="s">
        <v>168</v>
      </c>
      <c r="V2" s="106" t="s">
        <v>169</v>
      </c>
      <c r="W2" s="107" t="s">
        <v>170</v>
      </c>
      <c r="X2" s="108"/>
    </row>
    <row r="3" ht="15.75" customHeight="1">
      <c r="A3" s="109">
        <v>1.0</v>
      </c>
      <c r="B3" s="110" t="s">
        <v>36</v>
      </c>
      <c r="C3" s="109" t="s">
        <v>171</v>
      </c>
      <c r="D3" s="110" t="s">
        <v>98</v>
      </c>
      <c r="E3" s="110" t="s">
        <v>39</v>
      </c>
      <c r="F3" s="110" t="s">
        <v>99</v>
      </c>
      <c r="G3" s="109"/>
      <c r="H3" s="109" t="s">
        <v>172</v>
      </c>
      <c r="I3" s="111">
        <v>0.0</v>
      </c>
      <c r="J3" s="111">
        <v>2530889.0</v>
      </c>
      <c r="K3" s="111">
        <v>2530889.0</v>
      </c>
      <c r="L3" s="111">
        <v>5466720.0</v>
      </c>
      <c r="M3" s="111">
        <v>5061778.0</v>
      </c>
      <c r="N3" s="112">
        <v>0.0</v>
      </c>
      <c r="O3" s="113">
        <f t="shared" ref="O3:O36" si="1">I3+J3+K3+L3+M3+N3</f>
        <v>15590276</v>
      </c>
      <c r="P3" s="111">
        <v>506178.0</v>
      </c>
      <c r="Q3" s="109" t="s">
        <v>173</v>
      </c>
      <c r="R3" s="114" t="s">
        <v>174</v>
      </c>
      <c r="S3" s="115" t="s">
        <v>100</v>
      </c>
      <c r="T3" s="116" t="s">
        <v>175</v>
      </c>
      <c r="U3" s="103" t="s">
        <v>176</v>
      </c>
      <c r="V3" s="114" t="s">
        <v>174</v>
      </c>
      <c r="W3" s="117"/>
      <c r="X3" s="117" t="s">
        <v>177</v>
      </c>
      <c r="Y3" s="117"/>
    </row>
    <row r="4" ht="15.75" customHeight="1">
      <c r="A4" s="109">
        <f t="shared" ref="A4:A36" si="2">1+A3</f>
        <v>2</v>
      </c>
      <c r="B4" s="110" t="s">
        <v>36</v>
      </c>
      <c r="C4" s="110" t="s">
        <v>103</v>
      </c>
      <c r="D4" s="110" t="s">
        <v>104</v>
      </c>
      <c r="E4" s="110" t="s">
        <v>178</v>
      </c>
      <c r="F4" s="110" t="s">
        <v>99</v>
      </c>
      <c r="G4" s="118"/>
      <c r="H4" s="118">
        <v>45487.0</v>
      </c>
      <c r="I4" s="112">
        <v>130091.0</v>
      </c>
      <c r="J4" s="112">
        <v>1.2634437E7</v>
      </c>
      <c r="K4" s="112">
        <v>1.2634437E7</v>
      </c>
      <c r="L4" s="112">
        <v>2.1330955E7</v>
      </c>
      <c r="M4" s="112">
        <v>2546888.0</v>
      </c>
      <c r="N4" s="112">
        <v>0.0</v>
      </c>
      <c r="O4" s="113">
        <f t="shared" si="1"/>
        <v>49276808</v>
      </c>
      <c r="P4" s="112"/>
      <c r="Q4" s="109" t="s">
        <v>173</v>
      </c>
      <c r="R4" s="119" t="s">
        <v>179</v>
      </c>
      <c r="S4" s="115" t="s">
        <v>105</v>
      </c>
      <c r="T4" s="120" t="s">
        <v>106</v>
      </c>
      <c r="U4" s="121" t="s">
        <v>180</v>
      </c>
      <c r="V4" s="119" t="s">
        <v>179</v>
      </c>
      <c r="W4" s="117"/>
      <c r="X4" s="117" t="s">
        <v>181</v>
      </c>
      <c r="Y4" s="117"/>
    </row>
    <row r="5" ht="15.75" customHeight="1">
      <c r="A5" s="109">
        <f t="shared" si="2"/>
        <v>3</v>
      </c>
      <c r="B5" s="109" t="s">
        <v>36</v>
      </c>
      <c r="C5" s="120" t="s">
        <v>182</v>
      </c>
      <c r="D5" s="120" t="s">
        <v>183</v>
      </c>
      <c r="E5" s="109" t="s">
        <v>184</v>
      </c>
      <c r="F5" s="109" t="s">
        <v>91</v>
      </c>
      <c r="G5" s="109"/>
      <c r="H5" s="109" t="s">
        <v>185</v>
      </c>
      <c r="I5" s="111"/>
      <c r="J5" s="112"/>
      <c r="K5" s="112"/>
      <c r="L5" s="112">
        <f>6699+6699</f>
        <v>13398</v>
      </c>
      <c r="M5" s="112"/>
      <c r="N5" s="112"/>
      <c r="O5" s="113">
        <f t="shared" si="1"/>
        <v>13398</v>
      </c>
      <c r="P5" s="112"/>
      <c r="Q5" s="109" t="s">
        <v>186</v>
      </c>
      <c r="R5" s="109" t="s">
        <v>26</v>
      </c>
      <c r="S5" s="116" t="s">
        <v>187</v>
      </c>
      <c r="T5" s="122"/>
      <c r="U5" s="121"/>
      <c r="V5" s="123" t="s">
        <v>188</v>
      </c>
      <c r="W5" s="117"/>
      <c r="X5" s="124"/>
      <c r="Y5" s="124"/>
    </row>
    <row r="6" ht="15.75" customHeight="1">
      <c r="A6" s="109">
        <f t="shared" si="2"/>
        <v>4</v>
      </c>
      <c r="B6" s="109" t="s">
        <v>36</v>
      </c>
      <c r="C6" s="109" t="s">
        <v>189</v>
      </c>
      <c r="D6" s="109" t="s">
        <v>190</v>
      </c>
      <c r="E6" s="109" t="s">
        <v>191</v>
      </c>
      <c r="F6" s="109" t="s">
        <v>116</v>
      </c>
      <c r="G6" s="125">
        <v>45690.0</v>
      </c>
      <c r="H6" s="125">
        <v>45718.0</v>
      </c>
      <c r="I6" s="111">
        <v>9140005.0</v>
      </c>
      <c r="J6" s="111">
        <v>1.8665716E7</v>
      </c>
      <c r="K6" s="111">
        <v>1.8665716E7</v>
      </c>
      <c r="L6" s="112"/>
      <c r="M6" s="112">
        <f>9140005+18665716+18665716</f>
        <v>46471437</v>
      </c>
      <c r="N6" s="112"/>
      <c r="O6" s="113">
        <f t="shared" si="1"/>
        <v>92942874</v>
      </c>
      <c r="P6" s="112"/>
      <c r="Q6" s="109" t="s">
        <v>173</v>
      </c>
      <c r="R6" s="119" t="s">
        <v>179</v>
      </c>
      <c r="S6" s="110"/>
      <c r="T6" s="126"/>
      <c r="U6" s="126"/>
      <c r="V6" s="127" t="s">
        <v>192</v>
      </c>
      <c r="W6" s="117"/>
      <c r="X6" s="124"/>
      <c r="Y6" s="124"/>
    </row>
    <row r="7" ht="15.75" customHeight="1">
      <c r="A7" s="109">
        <f t="shared" si="2"/>
        <v>5</v>
      </c>
      <c r="B7" s="109" t="s">
        <v>36</v>
      </c>
      <c r="C7" s="109" t="s">
        <v>193</v>
      </c>
      <c r="D7" s="109" t="s">
        <v>190</v>
      </c>
      <c r="E7" s="109" t="s">
        <v>191</v>
      </c>
      <c r="F7" s="109" t="s">
        <v>99</v>
      </c>
      <c r="G7" s="125">
        <v>45690.0</v>
      </c>
      <c r="H7" s="125">
        <v>45718.0</v>
      </c>
      <c r="I7" s="112"/>
      <c r="J7" s="111">
        <v>1.1259137E7</v>
      </c>
      <c r="K7" s="111">
        <v>1.1259137E7</v>
      </c>
      <c r="L7" s="112"/>
      <c r="M7" s="112">
        <f>11259137*2</f>
        <v>22518274</v>
      </c>
      <c r="N7" s="112"/>
      <c r="O7" s="113">
        <f t="shared" si="1"/>
        <v>45036548</v>
      </c>
      <c r="P7" s="112"/>
      <c r="Q7" s="109" t="s">
        <v>173</v>
      </c>
      <c r="R7" s="119" t="s">
        <v>179</v>
      </c>
      <c r="S7" s="110"/>
      <c r="T7" s="110"/>
      <c r="U7" s="110"/>
      <c r="V7" s="127" t="s">
        <v>192</v>
      </c>
      <c r="W7" s="117"/>
      <c r="X7" s="124"/>
      <c r="Y7" s="124"/>
    </row>
    <row r="8" ht="15.75" customHeight="1">
      <c r="A8" s="109">
        <f t="shared" si="2"/>
        <v>6</v>
      </c>
      <c r="B8" s="128" t="s">
        <v>194</v>
      </c>
      <c r="C8" s="128" t="s">
        <v>195</v>
      </c>
      <c r="D8" s="129" t="s">
        <v>90</v>
      </c>
      <c r="E8" s="110" t="s">
        <v>39</v>
      </c>
      <c r="F8" s="129" t="s">
        <v>91</v>
      </c>
      <c r="G8" s="128"/>
      <c r="H8" s="128" t="s">
        <v>196</v>
      </c>
      <c r="I8" s="130">
        <v>0.0</v>
      </c>
      <c r="J8" s="130">
        <v>31373.0</v>
      </c>
      <c r="K8" s="130">
        <v>31373.0</v>
      </c>
      <c r="L8" s="130">
        <f>21444+21444</f>
        <v>42888</v>
      </c>
      <c r="M8" s="131">
        <f>10000+10000</f>
        <v>20000</v>
      </c>
      <c r="N8" s="131">
        <v>0.0</v>
      </c>
      <c r="O8" s="113">
        <f t="shared" si="1"/>
        <v>125634</v>
      </c>
      <c r="P8" s="130">
        <v>6274.0</v>
      </c>
      <c r="Q8" s="128" t="s">
        <v>173</v>
      </c>
      <c r="R8" s="132" t="s">
        <v>197</v>
      </c>
      <c r="S8" s="133" t="s">
        <v>93</v>
      </c>
      <c r="T8" s="134" t="s">
        <v>198</v>
      </c>
      <c r="U8" s="121" t="s">
        <v>199</v>
      </c>
      <c r="V8" s="132" t="s">
        <v>197</v>
      </c>
      <c r="W8" s="117"/>
      <c r="X8" s="124"/>
      <c r="Y8" s="124"/>
    </row>
    <row r="9" ht="15.75" customHeight="1">
      <c r="A9" s="109">
        <f t="shared" si="2"/>
        <v>7</v>
      </c>
      <c r="B9" s="110" t="s">
        <v>38</v>
      </c>
      <c r="C9" s="110" t="s">
        <v>114</v>
      </c>
      <c r="D9" s="110" t="s">
        <v>115</v>
      </c>
      <c r="E9" s="110" t="s">
        <v>39</v>
      </c>
      <c r="F9" s="110" t="s">
        <v>116</v>
      </c>
      <c r="G9" s="118"/>
      <c r="H9" s="118">
        <v>45382.0</v>
      </c>
      <c r="I9" s="112">
        <v>1.9833242E7</v>
      </c>
      <c r="J9" s="112">
        <v>9235140.0</v>
      </c>
      <c r="K9" s="112">
        <v>9235140.0</v>
      </c>
      <c r="L9" s="112">
        <v>5.5355808E7</v>
      </c>
      <c r="M9" s="112">
        <v>3639814.0</v>
      </c>
      <c r="N9" s="112">
        <v>32950.0</v>
      </c>
      <c r="O9" s="113">
        <f t="shared" si="1"/>
        <v>97332094</v>
      </c>
      <c r="P9" s="112">
        <v>3830353.0</v>
      </c>
      <c r="Q9" s="109" t="s">
        <v>173</v>
      </c>
      <c r="R9" s="109" t="s">
        <v>179</v>
      </c>
      <c r="S9" s="135" t="s">
        <v>200</v>
      </c>
      <c r="T9" s="116" t="s">
        <v>201</v>
      </c>
      <c r="U9" s="136" t="s">
        <v>201</v>
      </c>
      <c r="V9" s="137" t="s">
        <v>202</v>
      </c>
      <c r="W9" s="117"/>
      <c r="X9" s="124"/>
      <c r="Y9" s="124"/>
    </row>
    <row r="10" ht="15.75" customHeight="1">
      <c r="A10" s="109">
        <f t="shared" si="2"/>
        <v>8</v>
      </c>
      <c r="B10" s="110" t="s">
        <v>38</v>
      </c>
      <c r="C10" s="110" t="s">
        <v>120</v>
      </c>
      <c r="D10" s="110" t="s">
        <v>121</v>
      </c>
      <c r="E10" s="110" t="s">
        <v>39</v>
      </c>
      <c r="F10" s="110" t="s">
        <v>116</v>
      </c>
      <c r="G10" s="125"/>
      <c r="H10" s="118">
        <v>45541.0</v>
      </c>
      <c r="I10" s="112">
        <v>6671519.0</v>
      </c>
      <c r="J10" s="112">
        <v>0.0</v>
      </c>
      <c r="K10" s="112">
        <v>0.0</v>
      </c>
      <c r="L10" s="112">
        <v>8060657.93</v>
      </c>
      <c r="M10" s="112">
        <v>6671519.6</v>
      </c>
      <c r="N10" s="112">
        <v>0.0</v>
      </c>
      <c r="O10" s="113">
        <f t="shared" si="1"/>
        <v>21403696.53</v>
      </c>
      <c r="P10" s="112">
        <v>667152.0</v>
      </c>
      <c r="Q10" s="109" t="s">
        <v>173</v>
      </c>
      <c r="R10" s="109" t="s">
        <v>203</v>
      </c>
      <c r="S10" s="115" t="s">
        <v>204</v>
      </c>
      <c r="T10" s="120" t="s">
        <v>205</v>
      </c>
      <c r="U10" s="103" t="s">
        <v>206</v>
      </c>
      <c r="V10" s="138" t="s">
        <v>207</v>
      </c>
      <c r="W10" s="117"/>
      <c r="X10" s="117" t="s">
        <v>208</v>
      </c>
      <c r="Y10" s="124"/>
    </row>
    <row r="11" ht="30.75" customHeight="1">
      <c r="A11" s="109">
        <f t="shared" si="2"/>
        <v>9</v>
      </c>
      <c r="B11" s="139" t="s">
        <v>38</v>
      </c>
      <c r="C11" s="139" t="s">
        <v>209</v>
      </c>
      <c r="D11" s="139" t="s">
        <v>210</v>
      </c>
      <c r="E11" s="139" t="s">
        <v>211</v>
      </c>
      <c r="F11" s="139" t="s">
        <v>116</v>
      </c>
      <c r="G11" s="139"/>
      <c r="H11" s="139" t="s">
        <v>212</v>
      </c>
      <c r="I11" s="140">
        <v>1.880708E7</v>
      </c>
      <c r="J11" s="140">
        <v>0.0</v>
      </c>
      <c r="K11" s="140">
        <v>0.0</v>
      </c>
      <c r="L11" s="140">
        <v>0.0</v>
      </c>
      <c r="M11" s="140">
        <v>1.880708E7</v>
      </c>
      <c r="N11" s="140">
        <v>0.0</v>
      </c>
      <c r="O11" s="113">
        <f t="shared" si="1"/>
        <v>37614160</v>
      </c>
      <c r="P11" s="140"/>
      <c r="Q11" s="141" t="s">
        <v>173</v>
      </c>
      <c r="R11" s="142" t="s">
        <v>213</v>
      </c>
      <c r="S11" s="143" t="s">
        <v>214</v>
      </c>
      <c r="T11" s="120"/>
      <c r="U11" s="121"/>
      <c r="V11" s="114" t="s">
        <v>215</v>
      </c>
      <c r="W11" s="117"/>
      <c r="X11" s="124"/>
      <c r="Y11" s="124"/>
    </row>
    <row r="12" ht="15.75" customHeight="1">
      <c r="A12" s="109">
        <f t="shared" si="2"/>
        <v>10</v>
      </c>
      <c r="B12" s="139" t="s">
        <v>38</v>
      </c>
      <c r="C12" s="139" t="s">
        <v>216</v>
      </c>
      <c r="D12" s="139" t="s">
        <v>217</v>
      </c>
      <c r="E12" s="139" t="s">
        <v>218</v>
      </c>
      <c r="F12" s="139" t="s">
        <v>132</v>
      </c>
      <c r="G12" s="139"/>
      <c r="H12" s="139" t="s">
        <v>219</v>
      </c>
      <c r="I12" s="140"/>
      <c r="J12" s="144"/>
      <c r="K12" s="144"/>
      <c r="L12" s="140">
        <f>32565+32565</f>
        <v>65130</v>
      </c>
      <c r="M12" s="140"/>
      <c r="N12" s="144"/>
      <c r="O12" s="113">
        <f t="shared" si="1"/>
        <v>65130</v>
      </c>
      <c r="P12" s="140"/>
      <c r="Q12" s="141" t="s">
        <v>173</v>
      </c>
      <c r="R12" s="142" t="s">
        <v>220</v>
      </c>
      <c r="S12" s="143" t="s">
        <v>221</v>
      </c>
      <c r="T12" s="120"/>
      <c r="U12" s="121"/>
      <c r="V12" s="138" t="s">
        <v>222</v>
      </c>
      <c r="W12" s="117"/>
      <c r="X12" s="117" t="s">
        <v>223</v>
      </c>
      <c r="Y12" s="124"/>
    </row>
    <row r="13" ht="15.75" customHeight="1">
      <c r="A13" s="109">
        <f t="shared" si="2"/>
        <v>11</v>
      </c>
      <c r="B13" s="145" t="s">
        <v>38</v>
      </c>
      <c r="C13" s="139" t="s">
        <v>224</v>
      </c>
      <c r="D13" s="139" t="s">
        <v>225</v>
      </c>
      <c r="E13" s="110" t="s">
        <v>39</v>
      </c>
      <c r="F13" s="139" t="s">
        <v>132</v>
      </c>
      <c r="G13" s="139"/>
      <c r="H13" s="139" t="s">
        <v>226</v>
      </c>
      <c r="I13" s="140">
        <v>86220.0</v>
      </c>
      <c r="J13" s="144">
        <v>0.0</v>
      </c>
      <c r="K13" s="144">
        <v>0.0</v>
      </c>
      <c r="L13" s="140">
        <v>0.0</v>
      </c>
      <c r="M13" s="140">
        <v>86220.0</v>
      </c>
      <c r="N13" s="144">
        <v>0.0</v>
      </c>
      <c r="O13" s="113">
        <f t="shared" si="1"/>
        <v>172440</v>
      </c>
      <c r="P13" s="140">
        <v>8622.0</v>
      </c>
      <c r="Q13" s="141" t="s">
        <v>173</v>
      </c>
      <c r="R13" s="142" t="s">
        <v>203</v>
      </c>
      <c r="S13" s="143" t="s">
        <v>227</v>
      </c>
      <c r="T13" s="120" t="s">
        <v>228</v>
      </c>
      <c r="U13" s="121" t="s">
        <v>229</v>
      </c>
      <c r="V13" s="146" t="s">
        <v>230</v>
      </c>
      <c r="W13" s="147"/>
      <c r="X13" s="124"/>
      <c r="Y13" s="124"/>
    </row>
    <row r="14" ht="15.75" customHeight="1">
      <c r="A14" s="109">
        <f t="shared" si="2"/>
        <v>12</v>
      </c>
      <c r="B14" s="110" t="s">
        <v>38</v>
      </c>
      <c r="C14" s="110" t="s">
        <v>108</v>
      </c>
      <c r="D14" s="110" t="s">
        <v>109</v>
      </c>
      <c r="E14" s="110" t="s">
        <v>39</v>
      </c>
      <c r="F14" s="110" t="s">
        <v>110</v>
      </c>
      <c r="G14" s="118"/>
      <c r="H14" s="118">
        <v>45746.0</v>
      </c>
      <c r="I14" s="112">
        <v>342579.0</v>
      </c>
      <c r="J14" s="112">
        <v>139853.0</v>
      </c>
      <c r="K14" s="112">
        <v>139853.0</v>
      </c>
      <c r="L14" s="112">
        <v>486099.0</v>
      </c>
      <c r="M14" s="112">
        <v>112228.0</v>
      </c>
      <c r="N14" s="112">
        <v>1619290.0</v>
      </c>
      <c r="O14" s="113">
        <f t="shared" si="1"/>
        <v>2839902</v>
      </c>
      <c r="P14" s="112">
        <v>62230.0</v>
      </c>
      <c r="Q14" s="109" t="s">
        <v>173</v>
      </c>
      <c r="R14" s="114" t="s">
        <v>231</v>
      </c>
      <c r="S14" s="115" t="s">
        <v>232</v>
      </c>
      <c r="T14" s="134" t="s">
        <v>233</v>
      </c>
      <c r="U14" s="103" t="s">
        <v>206</v>
      </c>
      <c r="V14" s="114" t="s">
        <v>234</v>
      </c>
      <c r="W14" s="117"/>
      <c r="X14" s="117" t="s">
        <v>235</v>
      </c>
      <c r="Y14" s="117" t="s">
        <v>236</v>
      </c>
    </row>
    <row r="15" ht="15.75" customHeight="1">
      <c r="A15" s="109">
        <f t="shared" si="2"/>
        <v>13</v>
      </c>
      <c r="B15" s="139" t="s">
        <v>38</v>
      </c>
      <c r="C15" s="139" t="s">
        <v>237</v>
      </c>
      <c r="D15" s="139" t="s">
        <v>238</v>
      </c>
      <c r="E15" s="139" t="s">
        <v>239</v>
      </c>
      <c r="F15" s="139" t="s">
        <v>91</v>
      </c>
      <c r="G15" s="139"/>
      <c r="H15" s="139" t="s">
        <v>240</v>
      </c>
      <c r="I15" s="140">
        <v>12987.0</v>
      </c>
      <c r="J15" s="140">
        <v>30594.0</v>
      </c>
      <c r="K15" s="140">
        <v>30594.0</v>
      </c>
      <c r="L15" s="140">
        <v>98546.0</v>
      </c>
      <c r="M15" s="140"/>
      <c r="N15" s="140">
        <v>0.0</v>
      </c>
      <c r="O15" s="113">
        <f t="shared" si="1"/>
        <v>172721</v>
      </c>
      <c r="P15" s="140"/>
      <c r="Q15" s="141" t="s">
        <v>186</v>
      </c>
      <c r="R15" s="142" t="s">
        <v>241</v>
      </c>
      <c r="S15" s="143" t="s">
        <v>242</v>
      </c>
      <c r="T15" s="120"/>
      <c r="U15" s="121"/>
      <c r="V15" s="146" t="s">
        <v>243</v>
      </c>
      <c r="W15" s="117"/>
      <c r="X15" s="117" t="s">
        <v>235</v>
      </c>
      <c r="Y15" s="117" t="s">
        <v>236</v>
      </c>
    </row>
    <row r="16" ht="15.75" customHeight="1">
      <c r="A16" s="109">
        <f t="shared" si="2"/>
        <v>14</v>
      </c>
      <c r="B16" s="139" t="s">
        <v>38</v>
      </c>
      <c r="C16" s="139" t="s">
        <v>244</v>
      </c>
      <c r="D16" s="139" t="s">
        <v>245</v>
      </c>
      <c r="E16" s="139" t="s">
        <v>246</v>
      </c>
      <c r="F16" s="139" t="s">
        <v>139</v>
      </c>
      <c r="G16" s="148">
        <v>46169.0</v>
      </c>
      <c r="H16" s="139" t="s">
        <v>247</v>
      </c>
      <c r="I16" s="140"/>
      <c r="J16" s="140">
        <v>253585.0</v>
      </c>
      <c r="K16" s="140">
        <v>253585.0</v>
      </c>
      <c r="L16" s="140">
        <f>1615642+274319+274319</f>
        <v>2164280</v>
      </c>
      <c r="M16" s="140">
        <f>25358+25358</f>
        <v>50716</v>
      </c>
      <c r="N16" s="140">
        <v>0.0</v>
      </c>
      <c r="O16" s="113">
        <f t="shared" si="1"/>
        <v>2722166</v>
      </c>
      <c r="P16" s="140"/>
      <c r="Q16" s="141" t="s">
        <v>173</v>
      </c>
      <c r="R16" s="123" t="s">
        <v>248</v>
      </c>
      <c r="S16" s="143" t="s">
        <v>249</v>
      </c>
      <c r="T16" s="120"/>
      <c r="U16" s="121"/>
      <c r="V16" s="123" t="s">
        <v>250</v>
      </c>
      <c r="W16" s="117" t="s">
        <v>251</v>
      </c>
      <c r="X16" s="117" t="s">
        <v>235</v>
      </c>
      <c r="Y16" s="124"/>
    </row>
    <row r="17" ht="15.75" customHeight="1">
      <c r="A17" s="109">
        <f t="shared" si="2"/>
        <v>15</v>
      </c>
      <c r="B17" s="139" t="s">
        <v>38</v>
      </c>
      <c r="C17" s="139" t="s">
        <v>252</v>
      </c>
      <c r="D17" s="139" t="s">
        <v>253</v>
      </c>
      <c r="E17" s="139" t="s">
        <v>246</v>
      </c>
      <c r="F17" s="139" t="s">
        <v>254</v>
      </c>
      <c r="G17" s="148">
        <v>46169.0</v>
      </c>
      <c r="H17" s="139" t="s">
        <v>247</v>
      </c>
      <c r="I17" s="140">
        <v>375079.0</v>
      </c>
      <c r="J17" s="140">
        <v>281010.0</v>
      </c>
      <c r="K17" s="140">
        <v>281010.0</v>
      </c>
      <c r="L17" s="140">
        <f>1125560+253645+253645</f>
        <v>1632850</v>
      </c>
      <c r="M17" s="140">
        <f>37508+28100+28100</f>
        <v>93708</v>
      </c>
      <c r="N17" s="140"/>
      <c r="O17" s="113">
        <f t="shared" si="1"/>
        <v>2663657</v>
      </c>
      <c r="P17" s="140"/>
      <c r="Q17" s="141" t="s">
        <v>173</v>
      </c>
      <c r="R17" s="123" t="s">
        <v>250</v>
      </c>
      <c r="S17" s="143" t="s">
        <v>249</v>
      </c>
      <c r="T17" s="120"/>
      <c r="U17" s="121"/>
      <c r="V17" s="123" t="s">
        <v>250</v>
      </c>
      <c r="W17" s="149"/>
      <c r="X17" s="150"/>
      <c r="Y17" s="150"/>
      <c r="Z17" s="151"/>
      <c r="AA17" s="151"/>
      <c r="AB17" s="151"/>
    </row>
    <row r="18" ht="15.75" customHeight="1">
      <c r="A18" s="109">
        <f t="shared" si="2"/>
        <v>16</v>
      </c>
      <c r="B18" s="109" t="s">
        <v>38</v>
      </c>
      <c r="C18" s="109" t="s">
        <v>255</v>
      </c>
      <c r="D18" s="109" t="s">
        <v>190</v>
      </c>
      <c r="E18" s="109" t="s">
        <v>191</v>
      </c>
      <c r="F18" s="109" t="s">
        <v>110</v>
      </c>
      <c r="G18" s="125">
        <v>45690.0</v>
      </c>
      <c r="H18" s="125">
        <v>45718.0</v>
      </c>
      <c r="I18" s="111">
        <v>449696.0</v>
      </c>
      <c r="J18" s="112"/>
      <c r="K18" s="112"/>
      <c r="L18" s="112"/>
      <c r="M18" s="111">
        <v>449696.0</v>
      </c>
      <c r="N18" s="112"/>
      <c r="O18" s="113">
        <f t="shared" si="1"/>
        <v>899392</v>
      </c>
      <c r="P18" s="112"/>
      <c r="Q18" s="109" t="s">
        <v>173</v>
      </c>
      <c r="R18" s="109" t="s">
        <v>179</v>
      </c>
      <c r="S18" s="110"/>
      <c r="T18" s="110"/>
      <c r="U18" s="126"/>
      <c r="V18" s="127" t="s">
        <v>192</v>
      </c>
      <c r="W18" s="117"/>
      <c r="X18" s="124"/>
      <c r="Y18" s="124"/>
    </row>
    <row r="19" ht="15.75" customHeight="1">
      <c r="A19" s="109">
        <f t="shared" si="2"/>
        <v>17</v>
      </c>
      <c r="B19" s="109" t="s">
        <v>38</v>
      </c>
      <c r="C19" s="109" t="s">
        <v>256</v>
      </c>
      <c r="D19" s="109" t="s">
        <v>190</v>
      </c>
      <c r="E19" s="109" t="s">
        <v>191</v>
      </c>
      <c r="F19" s="109" t="s">
        <v>116</v>
      </c>
      <c r="G19" s="125">
        <v>45690.0</v>
      </c>
      <c r="H19" s="125">
        <v>45718.0</v>
      </c>
      <c r="I19" s="111">
        <v>3.3973494E7</v>
      </c>
      <c r="J19" s="111">
        <v>1.3805337E7</v>
      </c>
      <c r="K19" s="111">
        <v>1.3805216E7</v>
      </c>
      <c r="L19" s="112"/>
      <c r="M19" s="112">
        <f>33973494+13805337+13805337</f>
        <v>61584168</v>
      </c>
      <c r="N19" s="112"/>
      <c r="O19" s="113">
        <f t="shared" si="1"/>
        <v>123168215</v>
      </c>
      <c r="P19" s="112"/>
      <c r="Q19" s="109" t="s">
        <v>173</v>
      </c>
      <c r="R19" s="109" t="s">
        <v>179</v>
      </c>
      <c r="S19" s="110"/>
      <c r="T19" s="110"/>
      <c r="U19" s="126"/>
      <c r="V19" s="127" t="s">
        <v>192</v>
      </c>
      <c r="W19" s="117"/>
      <c r="X19" s="124"/>
      <c r="Y19" s="124"/>
    </row>
    <row r="20" ht="15.75" customHeight="1">
      <c r="A20" s="109">
        <f t="shared" si="2"/>
        <v>18</v>
      </c>
      <c r="B20" s="110" t="s">
        <v>40</v>
      </c>
      <c r="C20" s="110" t="s">
        <v>124</v>
      </c>
      <c r="D20" s="110" t="s">
        <v>125</v>
      </c>
      <c r="E20" s="110" t="s">
        <v>39</v>
      </c>
      <c r="F20" s="110" t="s">
        <v>126</v>
      </c>
      <c r="G20" s="118"/>
      <c r="H20" s="118">
        <v>45771.0</v>
      </c>
      <c r="I20" s="112"/>
      <c r="J20" s="112">
        <v>50299.0</v>
      </c>
      <c r="K20" s="112">
        <v>50299.0</v>
      </c>
      <c r="L20" s="112">
        <v>10562.0</v>
      </c>
      <c r="M20" s="112">
        <v>10060.0</v>
      </c>
      <c r="N20" s="112">
        <v>0.0</v>
      </c>
      <c r="O20" s="113">
        <f t="shared" si="1"/>
        <v>121220</v>
      </c>
      <c r="P20" s="111">
        <v>10060.0</v>
      </c>
      <c r="Q20" s="109" t="s">
        <v>173</v>
      </c>
      <c r="R20" s="123" t="s">
        <v>257</v>
      </c>
      <c r="S20" s="115" t="s">
        <v>127</v>
      </c>
      <c r="T20" s="134" t="s">
        <v>258</v>
      </c>
      <c r="U20" s="121" t="s">
        <v>259</v>
      </c>
      <c r="V20" s="123" t="s">
        <v>257</v>
      </c>
      <c r="W20" s="117"/>
      <c r="X20" s="124"/>
      <c r="Y20" s="124"/>
    </row>
    <row r="21" ht="35.25" customHeight="1">
      <c r="A21" s="109">
        <f t="shared" si="2"/>
        <v>19</v>
      </c>
      <c r="B21" s="121" t="s">
        <v>41</v>
      </c>
      <c r="C21" s="121" t="s">
        <v>260</v>
      </c>
      <c r="D21" s="121" t="s">
        <v>190</v>
      </c>
      <c r="E21" s="121" t="s">
        <v>191</v>
      </c>
      <c r="F21" s="121" t="s">
        <v>132</v>
      </c>
      <c r="G21" s="152">
        <v>45690.0</v>
      </c>
      <c r="H21" s="152">
        <v>45718.0</v>
      </c>
      <c r="I21" s="113"/>
      <c r="J21" s="153">
        <v>2454.0</v>
      </c>
      <c r="K21" s="153">
        <v>2454.0</v>
      </c>
      <c r="L21" s="113"/>
      <c r="M21" s="113">
        <f>2454*2</f>
        <v>4908</v>
      </c>
      <c r="N21" s="113"/>
      <c r="O21" s="113">
        <f t="shared" si="1"/>
        <v>9816</v>
      </c>
      <c r="P21" s="113"/>
      <c r="Q21" s="121" t="s">
        <v>173</v>
      </c>
      <c r="R21" s="121" t="s">
        <v>179</v>
      </c>
      <c r="S21" s="110"/>
      <c r="T21" s="126"/>
      <c r="U21" s="126"/>
      <c r="V21" s="127" t="s">
        <v>192</v>
      </c>
      <c r="W21" s="117"/>
      <c r="X21" s="124"/>
      <c r="Y21" s="124"/>
    </row>
    <row r="22" ht="15.75" customHeight="1">
      <c r="A22" s="109">
        <f t="shared" si="2"/>
        <v>20</v>
      </c>
      <c r="B22" s="121" t="s">
        <v>42</v>
      </c>
      <c r="C22" s="121" t="s">
        <v>261</v>
      </c>
      <c r="D22" s="121" t="s">
        <v>190</v>
      </c>
      <c r="E22" s="121" t="s">
        <v>191</v>
      </c>
      <c r="F22" s="121" t="s">
        <v>110</v>
      </c>
      <c r="G22" s="152">
        <v>45690.0</v>
      </c>
      <c r="H22" s="152">
        <v>45718.0</v>
      </c>
      <c r="I22" s="113"/>
      <c r="J22" s="153">
        <v>66023.0</v>
      </c>
      <c r="K22" s="153">
        <v>66023.0</v>
      </c>
      <c r="L22" s="113"/>
      <c r="M22" s="113">
        <f>66023*2</f>
        <v>132046</v>
      </c>
      <c r="N22" s="113"/>
      <c r="O22" s="113">
        <f t="shared" si="1"/>
        <v>264092</v>
      </c>
      <c r="P22" s="113"/>
      <c r="Q22" s="121" t="s">
        <v>173</v>
      </c>
      <c r="R22" s="121" t="s">
        <v>179</v>
      </c>
      <c r="S22" s="110"/>
      <c r="T22" s="126"/>
      <c r="U22" s="126"/>
      <c r="V22" s="127" t="s">
        <v>192</v>
      </c>
      <c r="W22" s="117"/>
      <c r="X22" s="124"/>
      <c r="Y22" s="124"/>
    </row>
    <row r="23" ht="15.75" customHeight="1">
      <c r="A23" s="109">
        <f t="shared" si="2"/>
        <v>21</v>
      </c>
      <c r="B23" s="121" t="s">
        <v>43</v>
      </c>
      <c r="C23" s="121" t="s">
        <v>262</v>
      </c>
      <c r="D23" s="121" t="s">
        <v>190</v>
      </c>
      <c r="E23" s="121" t="s">
        <v>191</v>
      </c>
      <c r="F23" s="121" t="s">
        <v>132</v>
      </c>
      <c r="G23" s="152">
        <v>45690.0</v>
      </c>
      <c r="H23" s="152">
        <v>45718.0</v>
      </c>
      <c r="I23" s="153">
        <v>11351.0</v>
      </c>
      <c r="J23" s="113"/>
      <c r="K23" s="113"/>
      <c r="L23" s="113"/>
      <c r="M23" s="153">
        <v>11351.0</v>
      </c>
      <c r="N23" s="113"/>
      <c r="O23" s="113">
        <f t="shared" si="1"/>
        <v>22702</v>
      </c>
      <c r="P23" s="113"/>
      <c r="Q23" s="121" t="s">
        <v>173</v>
      </c>
      <c r="R23" s="121" t="s">
        <v>179</v>
      </c>
      <c r="S23" s="126"/>
      <c r="T23" s="126"/>
      <c r="U23" s="126"/>
      <c r="V23" s="127" t="s">
        <v>192</v>
      </c>
      <c r="W23" s="117"/>
      <c r="X23" s="124"/>
      <c r="Y23" s="124"/>
    </row>
    <row r="24" ht="15.75" customHeight="1">
      <c r="A24" s="109">
        <f t="shared" si="2"/>
        <v>22</v>
      </c>
      <c r="B24" s="154" t="s">
        <v>44</v>
      </c>
      <c r="C24" s="154" t="s">
        <v>130</v>
      </c>
      <c r="D24" s="154" t="s">
        <v>131</v>
      </c>
      <c r="E24" s="155" t="s">
        <v>39</v>
      </c>
      <c r="F24" s="154" t="s">
        <v>132</v>
      </c>
      <c r="G24" s="156"/>
      <c r="H24" s="156" t="s">
        <v>134</v>
      </c>
      <c r="I24" s="157">
        <v>186613.0</v>
      </c>
      <c r="J24" s="157">
        <v>1946671.0</v>
      </c>
      <c r="K24" s="157">
        <v>1946671.0</v>
      </c>
      <c r="L24" s="157">
        <v>4406352.0</v>
      </c>
      <c r="M24" s="157">
        <v>457995.0</v>
      </c>
      <c r="N24" s="157">
        <v>0.0</v>
      </c>
      <c r="O24" s="113">
        <f t="shared" si="1"/>
        <v>8944302</v>
      </c>
      <c r="P24" s="157">
        <v>407998.0</v>
      </c>
      <c r="Q24" s="158" t="s">
        <v>173</v>
      </c>
      <c r="R24" s="158" t="s">
        <v>263</v>
      </c>
      <c r="S24" s="159" t="s">
        <v>264</v>
      </c>
      <c r="T24" s="158" t="s">
        <v>265</v>
      </c>
      <c r="U24" s="160" t="s">
        <v>266</v>
      </c>
      <c r="V24" s="161" t="s">
        <v>267</v>
      </c>
      <c r="W24" s="117" t="s">
        <v>268</v>
      </c>
      <c r="X24" s="124"/>
      <c r="Y24" s="124"/>
    </row>
    <row r="25" ht="15.75" customHeight="1">
      <c r="A25" s="109">
        <f t="shared" si="2"/>
        <v>23</v>
      </c>
      <c r="B25" s="126" t="s">
        <v>44</v>
      </c>
      <c r="C25" s="126" t="s">
        <v>137</v>
      </c>
      <c r="D25" s="126" t="s">
        <v>138</v>
      </c>
      <c r="E25" s="126" t="s">
        <v>269</v>
      </c>
      <c r="F25" s="126" t="s">
        <v>139</v>
      </c>
      <c r="G25" s="152">
        <v>45631.0</v>
      </c>
      <c r="H25" s="162">
        <v>45661.0</v>
      </c>
      <c r="I25" s="113"/>
      <c r="J25" s="113">
        <v>606570.0</v>
      </c>
      <c r="K25" s="113">
        <v>606570.0</v>
      </c>
      <c r="L25" s="113">
        <v>0.0</v>
      </c>
      <c r="M25" s="113">
        <v>0.0</v>
      </c>
      <c r="N25" s="113">
        <v>0.0</v>
      </c>
      <c r="O25" s="113">
        <f t="shared" si="1"/>
        <v>1213140</v>
      </c>
      <c r="P25" s="113"/>
      <c r="Q25" s="121" t="s">
        <v>26</v>
      </c>
      <c r="R25" s="121" t="s">
        <v>270</v>
      </c>
      <c r="S25" s="163" t="s">
        <v>140</v>
      </c>
      <c r="T25" s="121" t="s">
        <v>271</v>
      </c>
      <c r="U25" s="121" t="s">
        <v>272</v>
      </c>
      <c r="V25" s="117" t="s">
        <v>273</v>
      </c>
      <c r="W25" s="117"/>
      <c r="X25" s="117"/>
      <c r="Y25" s="124"/>
    </row>
    <row r="26" ht="15.75" customHeight="1">
      <c r="A26" s="109">
        <f t="shared" si="2"/>
        <v>24</v>
      </c>
      <c r="B26" s="121" t="s">
        <v>44</v>
      </c>
      <c r="C26" s="121" t="s">
        <v>274</v>
      </c>
      <c r="D26" s="121" t="s">
        <v>190</v>
      </c>
      <c r="E26" s="121" t="s">
        <v>191</v>
      </c>
      <c r="F26" s="121" t="s">
        <v>116</v>
      </c>
      <c r="G26" s="152">
        <v>45690.0</v>
      </c>
      <c r="H26" s="152">
        <v>45718.0</v>
      </c>
      <c r="I26" s="153">
        <v>1.223498E7</v>
      </c>
      <c r="J26" s="113"/>
      <c r="K26" s="113"/>
      <c r="L26" s="113"/>
      <c r="M26" s="153">
        <v>1.223498E7</v>
      </c>
      <c r="N26" s="113"/>
      <c r="O26" s="113">
        <f t="shared" si="1"/>
        <v>24469960</v>
      </c>
      <c r="P26" s="113"/>
      <c r="Q26" s="121" t="s">
        <v>173</v>
      </c>
      <c r="R26" s="121" t="s">
        <v>179</v>
      </c>
      <c r="S26" s="126"/>
      <c r="T26" s="126"/>
      <c r="U26" s="126"/>
      <c r="V26" s="127" t="s">
        <v>192</v>
      </c>
      <c r="W26" s="164"/>
      <c r="X26" s="117" t="s">
        <v>275</v>
      </c>
      <c r="Y26" s="124"/>
    </row>
    <row r="27" ht="15.75" customHeight="1">
      <c r="A27" s="109">
        <f t="shared" si="2"/>
        <v>25</v>
      </c>
      <c r="B27" s="121" t="s">
        <v>47</v>
      </c>
      <c r="C27" s="121" t="s">
        <v>276</v>
      </c>
      <c r="D27" s="121" t="s">
        <v>190</v>
      </c>
      <c r="E27" s="121" t="s">
        <v>191</v>
      </c>
      <c r="F27" s="121" t="s">
        <v>116</v>
      </c>
      <c r="G27" s="152">
        <v>45690.0</v>
      </c>
      <c r="H27" s="152">
        <v>45718.0</v>
      </c>
      <c r="I27" s="113"/>
      <c r="J27" s="153">
        <v>136515.0</v>
      </c>
      <c r="K27" s="153">
        <v>136515.0</v>
      </c>
      <c r="L27" s="113"/>
      <c r="M27" s="113">
        <f>136515*2</f>
        <v>273030</v>
      </c>
      <c r="N27" s="113"/>
      <c r="O27" s="113">
        <f t="shared" si="1"/>
        <v>546060</v>
      </c>
      <c r="P27" s="113"/>
      <c r="Q27" s="121" t="s">
        <v>173</v>
      </c>
      <c r="R27" s="121" t="s">
        <v>179</v>
      </c>
      <c r="S27" s="126"/>
      <c r="T27" s="126"/>
      <c r="U27" s="126"/>
      <c r="V27" s="127" t="s">
        <v>192</v>
      </c>
      <c r="W27" s="164"/>
      <c r="X27" s="117" t="s">
        <v>275</v>
      </c>
      <c r="Y27" s="124"/>
    </row>
    <row r="28" ht="15.75" customHeight="1">
      <c r="A28" s="109">
        <f t="shared" si="2"/>
        <v>26</v>
      </c>
      <c r="B28" s="165" t="s">
        <v>277</v>
      </c>
      <c r="C28" s="166" t="s">
        <v>278</v>
      </c>
      <c r="D28" s="166" t="s">
        <v>279</v>
      </c>
      <c r="E28" s="166" t="s">
        <v>246</v>
      </c>
      <c r="F28" s="166" t="s">
        <v>254</v>
      </c>
      <c r="G28" s="166" t="s">
        <v>280</v>
      </c>
      <c r="H28" s="166" t="s">
        <v>281</v>
      </c>
      <c r="I28" s="167">
        <v>203854.0</v>
      </c>
      <c r="J28" s="167">
        <v>589029.0</v>
      </c>
      <c r="K28" s="167">
        <v>589029.0</v>
      </c>
      <c r="L28" s="167">
        <v>496807.0</v>
      </c>
      <c r="M28" s="167">
        <v>138231.0</v>
      </c>
      <c r="N28" s="168"/>
      <c r="O28" s="113">
        <f t="shared" si="1"/>
        <v>2016950</v>
      </c>
      <c r="P28" s="168"/>
      <c r="Q28" s="166" t="s">
        <v>173</v>
      </c>
      <c r="R28" s="164" t="s">
        <v>282</v>
      </c>
      <c r="S28" s="169" t="s">
        <v>249</v>
      </c>
      <c r="T28" s="170"/>
      <c r="U28" s="170"/>
      <c r="V28" s="164" t="s">
        <v>282</v>
      </c>
      <c r="W28" s="171"/>
      <c r="X28" s="117" t="s">
        <v>275</v>
      </c>
      <c r="Y28" s="124"/>
    </row>
    <row r="29" ht="15.75" customHeight="1">
      <c r="A29" s="109">
        <f t="shared" si="2"/>
        <v>27</v>
      </c>
      <c r="B29" s="172" t="s">
        <v>283</v>
      </c>
      <c r="C29" s="172" t="s">
        <v>284</v>
      </c>
      <c r="D29" s="126"/>
      <c r="E29" s="172" t="s">
        <v>269</v>
      </c>
      <c r="F29" s="121" t="s">
        <v>139</v>
      </c>
      <c r="G29" s="152">
        <v>46154.0</v>
      </c>
      <c r="H29" s="152">
        <v>46185.0</v>
      </c>
      <c r="I29" s="153">
        <v>2739468.0</v>
      </c>
      <c r="J29" s="153">
        <v>2198255.0</v>
      </c>
      <c r="K29" s="153">
        <v>2198255.0</v>
      </c>
      <c r="L29" s="113"/>
      <c r="M29" s="113"/>
      <c r="N29" s="113"/>
      <c r="O29" s="113">
        <f t="shared" si="1"/>
        <v>7135978</v>
      </c>
      <c r="P29" s="113"/>
      <c r="Q29" s="121" t="s">
        <v>173</v>
      </c>
      <c r="R29" s="121" t="s">
        <v>285</v>
      </c>
      <c r="S29" s="126"/>
      <c r="T29" s="126"/>
      <c r="U29" s="126"/>
      <c r="V29" s="164" t="s">
        <v>286</v>
      </c>
      <c r="W29" s="117"/>
      <c r="X29" s="117"/>
      <c r="Y29" s="124"/>
    </row>
    <row r="30" ht="15.75" customHeight="1">
      <c r="A30" s="109">
        <f t="shared" si="2"/>
        <v>28</v>
      </c>
      <c r="B30" s="121" t="s">
        <v>49</v>
      </c>
      <c r="C30" s="121" t="s">
        <v>287</v>
      </c>
      <c r="D30" s="121" t="s">
        <v>190</v>
      </c>
      <c r="E30" s="121" t="s">
        <v>191</v>
      </c>
      <c r="F30" s="121" t="s">
        <v>132</v>
      </c>
      <c r="G30" s="152">
        <v>45690.0</v>
      </c>
      <c r="H30" s="152">
        <v>45718.0</v>
      </c>
      <c r="I30" s="153">
        <v>160138.0</v>
      </c>
      <c r="J30" s="153">
        <v>269790.0</v>
      </c>
      <c r="K30" s="153">
        <v>269790.0</v>
      </c>
      <c r="L30" s="113"/>
      <c r="M30" s="113">
        <f>160138+269790+269790</f>
        <v>699718</v>
      </c>
      <c r="N30" s="113"/>
      <c r="O30" s="113">
        <f t="shared" si="1"/>
        <v>1399436</v>
      </c>
      <c r="P30" s="113"/>
      <c r="Q30" s="121" t="s">
        <v>173</v>
      </c>
      <c r="R30" s="121" t="s">
        <v>179</v>
      </c>
      <c r="S30" s="126"/>
      <c r="T30" s="126"/>
      <c r="U30" s="126"/>
      <c r="V30" s="127" t="s">
        <v>192</v>
      </c>
      <c r="W30" s="124"/>
      <c r="X30" s="117" t="s">
        <v>275</v>
      </c>
      <c r="Y30" s="124"/>
    </row>
    <row r="31" ht="15.75" customHeight="1">
      <c r="A31" s="109">
        <f t="shared" si="2"/>
        <v>29</v>
      </c>
      <c r="B31" s="121" t="s">
        <v>50</v>
      </c>
      <c r="C31" s="121" t="s">
        <v>288</v>
      </c>
      <c r="D31" s="121" t="s">
        <v>190</v>
      </c>
      <c r="E31" s="121" t="s">
        <v>191</v>
      </c>
      <c r="F31" s="121" t="s">
        <v>116</v>
      </c>
      <c r="G31" s="152">
        <v>45690.0</v>
      </c>
      <c r="H31" s="152">
        <v>45718.0</v>
      </c>
      <c r="I31" s="153">
        <v>1.262036E7</v>
      </c>
      <c r="J31" s="153">
        <v>5319352.0</v>
      </c>
      <c r="K31" s="153">
        <v>5319352.0</v>
      </c>
      <c r="L31" s="113"/>
      <c r="M31" s="113">
        <f>12620360+5319352+5319352</f>
        <v>23259064</v>
      </c>
      <c r="N31" s="113"/>
      <c r="O31" s="113">
        <f t="shared" si="1"/>
        <v>46518128</v>
      </c>
      <c r="P31" s="113"/>
      <c r="Q31" s="121" t="s">
        <v>173</v>
      </c>
      <c r="R31" s="121" t="s">
        <v>179</v>
      </c>
      <c r="S31" s="126"/>
      <c r="T31" s="126"/>
      <c r="U31" s="126"/>
      <c r="V31" s="127" t="s">
        <v>192</v>
      </c>
      <c r="W31" s="117"/>
      <c r="X31" s="117" t="s">
        <v>275</v>
      </c>
      <c r="Y31" s="124"/>
    </row>
    <row r="32" ht="15.75" customHeight="1">
      <c r="A32" s="109">
        <f t="shared" si="2"/>
        <v>30</v>
      </c>
      <c r="B32" s="121" t="s">
        <v>50</v>
      </c>
      <c r="C32" s="121" t="s">
        <v>289</v>
      </c>
      <c r="D32" s="121" t="s">
        <v>190</v>
      </c>
      <c r="E32" s="121" t="s">
        <v>191</v>
      </c>
      <c r="F32" s="121" t="s">
        <v>132</v>
      </c>
      <c r="G32" s="152">
        <v>45690.0</v>
      </c>
      <c r="H32" s="152">
        <v>45718.0</v>
      </c>
      <c r="I32" s="153">
        <v>884254.0</v>
      </c>
      <c r="J32" s="113"/>
      <c r="K32" s="113"/>
      <c r="L32" s="113"/>
      <c r="M32" s="153">
        <v>884254.0</v>
      </c>
      <c r="N32" s="113"/>
      <c r="O32" s="113">
        <f t="shared" si="1"/>
        <v>1768508</v>
      </c>
      <c r="P32" s="113"/>
      <c r="Q32" s="121" t="s">
        <v>173</v>
      </c>
      <c r="R32" s="121" t="s">
        <v>290</v>
      </c>
      <c r="S32" s="126"/>
      <c r="T32" s="126"/>
      <c r="U32" s="126"/>
      <c r="V32" s="127" t="s">
        <v>192</v>
      </c>
      <c r="W32" s="124"/>
      <c r="X32" s="117" t="s">
        <v>275</v>
      </c>
      <c r="Y32" s="124"/>
    </row>
    <row r="33" ht="15.75" customHeight="1">
      <c r="A33" s="109">
        <f t="shared" si="2"/>
        <v>31</v>
      </c>
      <c r="B33" s="126" t="s">
        <v>52</v>
      </c>
      <c r="C33" s="126" t="s">
        <v>143</v>
      </c>
      <c r="D33" s="126"/>
      <c r="E33" s="126" t="s">
        <v>39</v>
      </c>
      <c r="F33" s="126" t="s">
        <v>116</v>
      </c>
      <c r="G33" s="162"/>
      <c r="H33" s="162">
        <v>45380.0</v>
      </c>
      <c r="I33" s="113"/>
      <c r="J33" s="113">
        <v>2227492.0</v>
      </c>
      <c r="K33" s="113">
        <v>2227492.0</v>
      </c>
      <c r="L33" s="113">
        <v>0.0</v>
      </c>
      <c r="M33" s="113">
        <v>497498.0</v>
      </c>
      <c r="N33" s="113">
        <v>0.0</v>
      </c>
      <c r="O33" s="113">
        <f t="shared" si="1"/>
        <v>4952482</v>
      </c>
      <c r="P33" s="113">
        <v>445500.0</v>
      </c>
      <c r="Q33" s="121" t="s">
        <v>173</v>
      </c>
      <c r="R33" s="164" t="s">
        <v>291</v>
      </c>
      <c r="S33" s="163" t="s">
        <v>292</v>
      </c>
      <c r="T33" s="121" t="s">
        <v>145</v>
      </c>
      <c r="U33" s="121" t="s">
        <v>293</v>
      </c>
      <c r="V33" s="164" t="s">
        <v>291</v>
      </c>
      <c r="W33" s="117"/>
      <c r="X33" s="117" t="s">
        <v>275</v>
      </c>
      <c r="Y33" s="124"/>
    </row>
    <row r="34" ht="15.75" customHeight="1">
      <c r="A34" s="109">
        <f t="shared" si="2"/>
        <v>32</v>
      </c>
      <c r="B34" s="126" t="s">
        <v>52</v>
      </c>
      <c r="C34" s="126" t="s">
        <v>147</v>
      </c>
      <c r="D34" s="126"/>
      <c r="E34" s="126" t="s">
        <v>39</v>
      </c>
      <c r="F34" s="126" t="s">
        <v>132</v>
      </c>
      <c r="G34" s="162"/>
      <c r="H34" s="162">
        <v>45380.0</v>
      </c>
      <c r="I34" s="113"/>
      <c r="J34" s="113">
        <v>430576.0</v>
      </c>
      <c r="K34" s="113">
        <v>430576.0</v>
      </c>
      <c r="L34" s="113">
        <v>0.0</v>
      </c>
      <c r="M34" s="113">
        <v>86116.0</v>
      </c>
      <c r="N34" s="113">
        <v>0.0</v>
      </c>
      <c r="O34" s="113">
        <f t="shared" si="1"/>
        <v>947268</v>
      </c>
      <c r="P34" s="113">
        <v>86116.0</v>
      </c>
      <c r="Q34" s="121" t="s">
        <v>173</v>
      </c>
      <c r="R34" s="164" t="s">
        <v>291</v>
      </c>
      <c r="S34" s="163" t="s">
        <v>294</v>
      </c>
      <c r="T34" s="121" t="s">
        <v>145</v>
      </c>
      <c r="U34" s="121" t="s">
        <v>293</v>
      </c>
      <c r="V34" s="164" t="s">
        <v>291</v>
      </c>
      <c r="W34" s="117"/>
      <c r="X34" s="117" t="s">
        <v>275</v>
      </c>
      <c r="Y34" s="124"/>
    </row>
    <row r="35" ht="15.75" customHeight="1">
      <c r="A35" s="109">
        <f t="shared" si="2"/>
        <v>33</v>
      </c>
      <c r="B35" s="121" t="s">
        <v>52</v>
      </c>
      <c r="C35" s="121" t="s">
        <v>295</v>
      </c>
      <c r="D35" s="121" t="s">
        <v>296</v>
      </c>
      <c r="E35" s="121" t="s">
        <v>218</v>
      </c>
      <c r="F35" s="121" t="s">
        <v>116</v>
      </c>
      <c r="G35" s="152">
        <v>45692.0</v>
      </c>
      <c r="H35" s="152">
        <v>45718.0</v>
      </c>
      <c r="I35" s="113"/>
      <c r="J35" s="153">
        <v>927509.0</v>
      </c>
      <c r="K35" s="153">
        <v>927509.0</v>
      </c>
      <c r="L35" s="113"/>
      <c r="M35" s="153">
        <v>1855018.0</v>
      </c>
      <c r="N35" s="113"/>
      <c r="O35" s="113">
        <f t="shared" si="1"/>
        <v>3710036</v>
      </c>
      <c r="P35" s="113"/>
      <c r="Q35" s="121" t="s">
        <v>173</v>
      </c>
      <c r="R35" s="121" t="s">
        <v>297</v>
      </c>
      <c r="S35" s="163"/>
      <c r="T35" s="121"/>
      <c r="U35" s="121"/>
      <c r="V35" s="117" t="s">
        <v>298</v>
      </c>
      <c r="W35" s="117"/>
      <c r="X35" s="117" t="s">
        <v>275</v>
      </c>
      <c r="Y35" s="124"/>
    </row>
    <row r="36" ht="15.75" customHeight="1">
      <c r="A36" s="109">
        <f t="shared" si="2"/>
        <v>34</v>
      </c>
      <c r="B36" s="121" t="s">
        <v>52</v>
      </c>
      <c r="C36" s="121" t="s">
        <v>299</v>
      </c>
      <c r="D36" s="121" t="s">
        <v>190</v>
      </c>
      <c r="E36" s="121" t="s">
        <v>191</v>
      </c>
      <c r="F36" s="121" t="s">
        <v>116</v>
      </c>
      <c r="G36" s="152">
        <v>45690.0</v>
      </c>
      <c r="H36" s="152">
        <v>45718.0</v>
      </c>
      <c r="I36" s="153">
        <v>6751699.0</v>
      </c>
      <c r="J36" s="153">
        <v>4080848.0</v>
      </c>
      <c r="K36" s="153">
        <v>4080848.0</v>
      </c>
      <c r="L36" s="113"/>
      <c r="M36" s="113">
        <f>6751699+4080848+4080848</f>
        <v>14913395</v>
      </c>
      <c r="N36" s="113"/>
      <c r="O36" s="113">
        <f t="shared" si="1"/>
        <v>29826790</v>
      </c>
      <c r="P36" s="113"/>
      <c r="Q36" s="121" t="s">
        <v>173</v>
      </c>
      <c r="R36" s="127" t="s">
        <v>192</v>
      </c>
      <c r="S36" s="126"/>
      <c r="T36" s="126"/>
      <c r="U36" s="126"/>
      <c r="V36" s="127" t="s">
        <v>192</v>
      </c>
      <c r="W36" s="117"/>
      <c r="X36" s="117" t="s">
        <v>275</v>
      </c>
      <c r="Y36" s="124"/>
    </row>
    <row r="37" ht="15.75" customHeight="1">
      <c r="A37" s="126"/>
      <c r="B37" s="121"/>
      <c r="C37" s="121"/>
      <c r="D37" s="126"/>
      <c r="E37" s="126"/>
      <c r="F37" s="126"/>
      <c r="G37" s="162"/>
      <c r="H37" s="162"/>
      <c r="I37" s="113"/>
      <c r="J37" s="113"/>
      <c r="K37" s="113"/>
      <c r="L37" s="113"/>
      <c r="M37" s="113"/>
      <c r="N37" s="113"/>
      <c r="O37" s="113"/>
      <c r="P37" s="113"/>
      <c r="Q37" s="126"/>
      <c r="R37" s="126"/>
      <c r="S37" s="126"/>
      <c r="T37" s="126"/>
      <c r="U37" s="126"/>
    </row>
    <row r="38" ht="15.75" customHeight="1">
      <c r="A38" s="126"/>
      <c r="B38" s="126"/>
      <c r="C38" s="126"/>
      <c r="D38" s="126"/>
      <c r="E38" s="126"/>
      <c r="F38" s="126"/>
      <c r="G38" s="162"/>
      <c r="H38" s="162"/>
      <c r="I38" s="113"/>
      <c r="J38" s="113"/>
      <c r="K38" s="113"/>
      <c r="L38" s="113"/>
      <c r="M38" s="113"/>
      <c r="N38" s="113"/>
      <c r="O38" s="113"/>
      <c r="P38" s="113"/>
      <c r="Q38" s="126"/>
      <c r="R38" s="126"/>
      <c r="S38" s="126"/>
      <c r="T38" s="126"/>
      <c r="U38" s="126"/>
    </row>
    <row r="39" ht="15.75" customHeight="1">
      <c r="A39" s="126"/>
      <c r="B39" s="126"/>
      <c r="C39" s="126"/>
      <c r="D39" s="126"/>
      <c r="E39" s="126"/>
      <c r="F39" s="126"/>
      <c r="G39" s="162"/>
      <c r="H39" s="162"/>
      <c r="I39" s="113"/>
      <c r="J39" s="113"/>
      <c r="K39" s="113"/>
      <c r="L39" s="113"/>
      <c r="M39" s="113"/>
      <c r="N39" s="113"/>
      <c r="O39" s="113"/>
      <c r="P39" s="113"/>
      <c r="Q39" s="126"/>
      <c r="R39" s="126"/>
      <c r="S39" s="126"/>
      <c r="T39" s="126"/>
      <c r="U39" s="126"/>
    </row>
    <row r="40" ht="15.75" customHeight="1">
      <c r="A40" s="126"/>
      <c r="B40" s="126"/>
      <c r="C40" s="126"/>
      <c r="D40" s="126"/>
      <c r="E40" s="126"/>
      <c r="F40" s="126"/>
      <c r="G40" s="162"/>
      <c r="H40" s="162"/>
      <c r="I40" s="113"/>
      <c r="J40" s="113"/>
      <c r="K40" s="113"/>
      <c r="L40" s="113"/>
      <c r="M40" s="113"/>
      <c r="N40" s="113"/>
      <c r="O40" s="113"/>
      <c r="P40" s="113"/>
      <c r="Q40" s="126"/>
      <c r="R40" s="126"/>
      <c r="S40" s="126"/>
      <c r="T40" s="126"/>
      <c r="U40" s="126"/>
    </row>
    <row r="41" ht="15.75" customHeight="1">
      <c r="A41" s="126"/>
      <c r="B41" s="126"/>
      <c r="C41" s="126"/>
      <c r="D41" s="126"/>
      <c r="E41" s="126"/>
      <c r="F41" s="126"/>
      <c r="G41" s="162"/>
      <c r="H41" s="162"/>
      <c r="I41" s="113"/>
      <c r="J41" s="113"/>
      <c r="K41" s="113"/>
      <c r="L41" s="113"/>
      <c r="M41" s="113"/>
      <c r="N41" s="113"/>
      <c r="O41" s="113"/>
      <c r="P41" s="113"/>
      <c r="Q41" s="126"/>
      <c r="R41" s="126"/>
      <c r="S41" s="126"/>
      <c r="T41" s="126"/>
      <c r="U41" s="126"/>
    </row>
    <row r="42" ht="15.75" customHeight="1">
      <c r="A42" s="126"/>
      <c r="B42" s="126"/>
      <c r="C42" s="126"/>
      <c r="D42" s="126"/>
      <c r="E42" s="126"/>
      <c r="F42" s="126"/>
      <c r="G42" s="162"/>
      <c r="H42" s="162"/>
      <c r="I42" s="113"/>
      <c r="J42" s="113"/>
      <c r="K42" s="113"/>
      <c r="L42" s="113"/>
      <c r="M42" s="113"/>
      <c r="N42" s="113"/>
      <c r="O42" s="113"/>
      <c r="P42" s="113"/>
      <c r="Q42" s="126"/>
      <c r="R42" s="126"/>
      <c r="S42" s="126"/>
      <c r="T42" s="126"/>
      <c r="U42" s="126"/>
    </row>
    <row r="43" ht="15.75" customHeight="1">
      <c r="A43" s="126"/>
      <c r="B43" s="126"/>
      <c r="C43" s="126"/>
      <c r="D43" s="126"/>
      <c r="E43" s="126"/>
      <c r="F43" s="126"/>
      <c r="G43" s="162"/>
      <c r="H43" s="162"/>
      <c r="I43" s="113"/>
      <c r="J43" s="113"/>
      <c r="K43" s="113"/>
      <c r="L43" s="113"/>
      <c r="M43" s="113"/>
      <c r="N43" s="113"/>
      <c r="O43" s="113"/>
      <c r="P43" s="113"/>
      <c r="Q43" s="126"/>
      <c r="R43" s="126"/>
      <c r="S43" s="126"/>
      <c r="T43" s="126"/>
      <c r="U43" s="126"/>
    </row>
    <row r="44" ht="15.75" customHeight="1">
      <c r="A44" s="126"/>
      <c r="B44" s="126"/>
      <c r="C44" s="126"/>
      <c r="D44" s="126"/>
      <c r="E44" s="126"/>
      <c r="F44" s="126"/>
      <c r="G44" s="162"/>
      <c r="H44" s="162"/>
      <c r="I44" s="113"/>
      <c r="J44" s="113"/>
      <c r="K44" s="113"/>
      <c r="L44" s="113"/>
      <c r="M44" s="113"/>
      <c r="N44" s="113"/>
      <c r="O44" s="113"/>
      <c r="P44" s="113"/>
      <c r="Q44" s="126"/>
      <c r="R44" s="126"/>
      <c r="S44" s="126"/>
      <c r="T44" s="126"/>
      <c r="U44" s="126"/>
    </row>
    <row r="45" ht="15.75" customHeight="1">
      <c r="A45" s="126"/>
      <c r="B45" s="126"/>
      <c r="C45" s="126"/>
      <c r="D45" s="126"/>
      <c r="E45" s="126"/>
      <c r="F45" s="126"/>
      <c r="G45" s="162"/>
      <c r="H45" s="162"/>
      <c r="I45" s="113"/>
      <c r="J45" s="113"/>
      <c r="K45" s="113"/>
      <c r="L45" s="113"/>
      <c r="M45" s="113"/>
      <c r="N45" s="113"/>
      <c r="O45" s="113"/>
      <c r="P45" s="113"/>
      <c r="Q45" s="126"/>
      <c r="R45" s="126"/>
      <c r="S45" s="126"/>
      <c r="T45" s="126"/>
      <c r="U45" s="126"/>
    </row>
    <row r="46" ht="15.75" customHeight="1">
      <c r="A46" s="126"/>
      <c r="B46" s="126"/>
      <c r="C46" s="126"/>
      <c r="D46" s="126"/>
      <c r="E46" s="126"/>
      <c r="F46" s="126"/>
      <c r="G46" s="162"/>
      <c r="H46" s="162"/>
      <c r="I46" s="113"/>
      <c r="J46" s="113"/>
      <c r="K46" s="113"/>
      <c r="L46" s="113"/>
      <c r="M46" s="113"/>
      <c r="N46" s="113"/>
      <c r="O46" s="113"/>
      <c r="P46" s="113"/>
      <c r="Q46" s="126"/>
      <c r="R46" s="126"/>
      <c r="S46" s="126"/>
      <c r="T46" s="126"/>
      <c r="U46" s="126"/>
    </row>
    <row r="47" ht="15.75" customHeight="1">
      <c r="A47" s="126"/>
      <c r="B47" s="126"/>
      <c r="C47" s="126"/>
      <c r="D47" s="126"/>
      <c r="E47" s="126"/>
      <c r="F47" s="126"/>
      <c r="G47" s="162"/>
      <c r="H47" s="162"/>
      <c r="I47" s="113"/>
      <c r="J47" s="113"/>
      <c r="K47" s="113"/>
      <c r="L47" s="113"/>
      <c r="M47" s="113"/>
      <c r="N47" s="113"/>
      <c r="O47" s="113"/>
      <c r="P47" s="113"/>
      <c r="Q47" s="126"/>
      <c r="R47" s="126"/>
      <c r="S47" s="126"/>
      <c r="T47" s="126"/>
      <c r="U47" s="126"/>
    </row>
    <row r="48" ht="15.75" customHeight="1">
      <c r="A48" s="126"/>
      <c r="B48" s="126"/>
      <c r="C48" s="126"/>
      <c r="D48" s="126"/>
      <c r="E48" s="126"/>
      <c r="F48" s="126"/>
      <c r="G48" s="162"/>
      <c r="H48" s="162"/>
      <c r="I48" s="113"/>
      <c r="J48" s="113"/>
      <c r="K48" s="113"/>
      <c r="L48" s="113"/>
      <c r="M48" s="113"/>
      <c r="N48" s="113"/>
      <c r="O48" s="113"/>
      <c r="P48" s="113"/>
      <c r="Q48" s="126"/>
      <c r="R48" s="126"/>
      <c r="S48" s="126"/>
      <c r="T48" s="126"/>
      <c r="U48" s="126"/>
    </row>
    <row r="49" ht="15.75" customHeight="1">
      <c r="A49" s="126"/>
      <c r="B49" s="126"/>
      <c r="C49" s="126"/>
      <c r="D49" s="126"/>
      <c r="E49" s="126"/>
      <c r="F49" s="126"/>
      <c r="G49" s="162"/>
      <c r="H49" s="162"/>
      <c r="I49" s="113"/>
      <c r="J49" s="113"/>
      <c r="K49" s="113"/>
      <c r="L49" s="113"/>
      <c r="M49" s="113"/>
      <c r="N49" s="113"/>
      <c r="O49" s="113"/>
      <c r="P49" s="113"/>
      <c r="Q49" s="126"/>
      <c r="R49" s="126"/>
      <c r="S49" s="126"/>
      <c r="T49" s="126"/>
      <c r="U49" s="126"/>
    </row>
    <row r="50" ht="15.75" customHeight="1">
      <c r="A50" s="126"/>
      <c r="B50" s="126"/>
      <c r="C50" s="126"/>
      <c r="D50" s="126"/>
      <c r="E50" s="126"/>
      <c r="F50" s="126"/>
      <c r="G50" s="162"/>
      <c r="H50" s="162"/>
      <c r="I50" s="113"/>
      <c r="J50" s="113"/>
      <c r="K50" s="113"/>
      <c r="L50" s="113"/>
      <c r="M50" s="113"/>
      <c r="N50" s="113"/>
      <c r="O50" s="113"/>
      <c r="P50" s="113"/>
      <c r="Q50" s="126"/>
      <c r="R50" s="126"/>
      <c r="S50" s="126"/>
      <c r="T50" s="126"/>
      <c r="U50" s="126"/>
    </row>
    <row r="51" ht="15.75" customHeight="1">
      <c r="A51" s="126"/>
      <c r="B51" s="126"/>
      <c r="C51" s="126"/>
      <c r="D51" s="126"/>
      <c r="E51" s="126"/>
      <c r="F51" s="126"/>
      <c r="G51" s="162"/>
      <c r="H51" s="162"/>
      <c r="I51" s="113"/>
      <c r="J51" s="113"/>
      <c r="K51" s="113"/>
      <c r="L51" s="113"/>
      <c r="M51" s="113"/>
      <c r="N51" s="113"/>
      <c r="O51" s="113"/>
      <c r="P51" s="113"/>
      <c r="Q51" s="126"/>
      <c r="R51" s="126"/>
      <c r="S51" s="126"/>
      <c r="T51" s="126"/>
      <c r="U51" s="126"/>
    </row>
    <row r="52" ht="15.75" customHeight="1">
      <c r="A52" s="126"/>
      <c r="B52" s="126"/>
      <c r="C52" s="126"/>
      <c r="D52" s="126"/>
      <c r="E52" s="126"/>
      <c r="F52" s="126"/>
      <c r="G52" s="162"/>
      <c r="H52" s="162"/>
      <c r="I52" s="113"/>
      <c r="J52" s="113"/>
      <c r="K52" s="113"/>
      <c r="L52" s="113"/>
      <c r="M52" s="113"/>
      <c r="N52" s="113"/>
      <c r="O52" s="113"/>
      <c r="P52" s="113"/>
      <c r="Q52" s="126"/>
      <c r="R52" s="126"/>
      <c r="S52" s="126"/>
      <c r="T52" s="126"/>
      <c r="U52" s="126"/>
    </row>
    <row r="53" ht="15.75" customHeight="1">
      <c r="A53" s="126"/>
      <c r="B53" s="126"/>
      <c r="C53" s="126"/>
      <c r="D53" s="126"/>
      <c r="E53" s="126"/>
      <c r="F53" s="126"/>
      <c r="G53" s="162"/>
      <c r="H53" s="162"/>
      <c r="I53" s="113"/>
      <c r="J53" s="113"/>
      <c r="K53" s="113"/>
      <c r="L53" s="113"/>
      <c r="M53" s="113"/>
      <c r="N53" s="113"/>
      <c r="O53" s="113"/>
      <c r="P53" s="113"/>
      <c r="Q53" s="126"/>
      <c r="R53" s="126"/>
      <c r="S53" s="126"/>
      <c r="T53" s="126"/>
      <c r="U53" s="126"/>
    </row>
    <row r="54" ht="15.75" customHeight="1">
      <c r="A54" s="126"/>
      <c r="B54" s="126"/>
      <c r="C54" s="126"/>
      <c r="D54" s="126"/>
      <c r="E54" s="126"/>
      <c r="F54" s="126"/>
      <c r="G54" s="162"/>
      <c r="H54" s="162"/>
      <c r="I54" s="113"/>
      <c r="J54" s="113"/>
      <c r="K54" s="113"/>
      <c r="L54" s="113"/>
      <c r="M54" s="113"/>
      <c r="N54" s="113"/>
      <c r="O54" s="113"/>
      <c r="P54" s="113"/>
      <c r="Q54" s="126"/>
      <c r="R54" s="126"/>
      <c r="S54" s="126"/>
      <c r="T54" s="126"/>
      <c r="U54" s="126"/>
    </row>
    <row r="55" ht="15.75" customHeight="1">
      <c r="A55" s="126"/>
      <c r="B55" s="126"/>
      <c r="C55" s="126"/>
      <c r="D55" s="126"/>
      <c r="E55" s="126"/>
      <c r="F55" s="126"/>
      <c r="G55" s="162"/>
      <c r="H55" s="162"/>
      <c r="I55" s="113"/>
      <c r="J55" s="113"/>
      <c r="K55" s="113"/>
      <c r="L55" s="113"/>
      <c r="M55" s="113"/>
      <c r="N55" s="113"/>
      <c r="O55" s="113"/>
      <c r="P55" s="113"/>
      <c r="Q55" s="126"/>
      <c r="R55" s="126"/>
      <c r="S55" s="126"/>
      <c r="T55" s="126"/>
      <c r="U55" s="126"/>
    </row>
    <row r="56" ht="15.75" customHeight="1">
      <c r="A56" s="126"/>
      <c r="B56" s="126"/>
      <c r="C56" s="126"/>
      <c r="D56" s="126"/>
      <c r="E56" s="126"/>
      <c r="F56" s="126"/>
      <c r="G56" s="162"/>
      <c r="H56" s="162"/>
      <c r="I56" s="113"/>
      <c r="J56" s="113"/>
      <c r="K56" s="113"/>
      <c r="L56" s="113"/>
      <c r="M56" s="113"/>
      <c r="N56" s="113"/>
      <c r="O56" s="113"/>
      <c r="P56" s="113"/>
      <c r="Q56" s="126"/>
      <c r="R56" s="126"/>
      <c r="S56" s="126"/>
      <c r="T56" s="126"/>
      <c r="U56" s="126"/>
    </row>
    <row r="57" ht="15.75" customHeight="1">
      <c r="A57" s="126"/>
      <c r="B57" s="126"/>
      <c r="C57" s="126"/>
      <c r="D57" s="126"/>
      <c r="E57" s="126"/>
      <c r="F57" s="126"/>
      <c r="G57" s="162"/>
      <c r="H57" s="162"/>
      <c r="I57" s="113"/>
      <c r="J57" s="113"/>
      <c r="K57" s="113"/>
      <c r="L57" s="113"/>
      <c r="M57" s="113"/>
      <c r="N57" s="113"/>
      <c r="O57" s="113"/>
      <c r="P57" s="113"/>
      <c r="Q57" s="126"/>
      <c r="R57" s="126"/>
      <c r="S57" s="126"/>
      <c r="T57" s="126"/>
      <c r="U57" s="126"/>
    </row>
    <row r="58" ht="15.75" customHeight="1">
      <c r="A58" s="126"/>
      <c r="B58" s="126"/>
      <c r="C58" s="126"/>
      <c r="D58" s="126"/>
      <c r="E58" s="126"/>
      <c r="F58" s="126"/>
      <c r="G58" s="162"/>
      <c r="H58" s="162"/>
      <c r="I58" s="113"/>
      <c r="J58" s="113"/>
      <c r="K58" s="113"/>
      <c r="L58" s="113"/>
      <c r="M58" s="113"/>
      <c r="N58" s="113"/>
      <c r="O58" s="113"/>
      <c r="P58" s="113"/>
      <c r="Q58" s="126"/>
      <c r="R58" s="126"/>
      <c r="S58" s="126"/>
      <c r="T58" s="126"/>
      <c r="U58" s="126"/>
    </row>
    <row r="59" ht="15.75" customHeight="1">
      <c r="A59" s="126"/>
      <c r="B59" s="126"/>
      <c r="C59" s="126"/>
      <c r="D59" s="126"/>
      <c r="E59" s="126"/>
      <c r="F59" s="126"/>
      <c r="G59" s="162"/>
      <c r="H59" s="162"/>
      <c r="I59" s="113"/>
      <c r="J59" s="113"/>
      <c r="K59" s="113"/>
      <c r="L59" s="113"/>
      <c r="M59" s="113"/>
      <c r="N59" s="113"/>
      <c r="O59" s="113"/>
      <c r="P59" s="113"/>
      <c r="Q59" s="126"/>
      <c r="R59" s="126"/>
      <c r="S59" s="126"/>
      <c r="T59" s="126"/>
      <c r="U59" s="126"/>
    </row>
    <row r="60" ht="15.75" customHeight="1">
      <c r="A60" s="126"/>
      <c r="B60" s="126"/>
      <c r="C60" s="126"/>
      <c r="D60" s="126"/>
      <c r="E60" s="126"/>
      <c r="F60" s="126"/>
      <c r="G60" s="162"/>
      <c r="H60" s="162"/>
      <c r="I60" s="113"/>
      <c r="J60" s="113"/>
      <c r="K60" s="113"/>
      <c r="L60" s="113"/>
      <c r="M60" s="113"/>
      <c r="N60" s="113"/>
      <c r="O60" s="113"/>
      <c r="P60" s="113"/>
      <c r="Q60" s="126"/>
      <c r="R60" s="126"/>
      <c r="S60" s="126"/>
      <c r="T60" s="126"/>
      <c r="U60" s="126"/>
    </row>
    <row r="61" ht="15.75" customHeight="1">
      <c r="A61" s="126"/>
      <c r="B61" s="126"/>
      <c r="C61" s="126"/>
      <c r="D61" s="126"/>
      <c r="E61" s="126"/>
      <c r="F61" s="126"/>
      <c r="G61" s="162"/>
      <c r="H61" s="162"/>
      <c r="I61" s="113"/>
      <c r="J61" s="113"/>
      <c r="K61" s="113"/>
      <c r="L61" s="113"/>
      <c r="M61" s="113"/>
      <c r="N61" s="113"/>
      <c r="O61" s="113"/>
      <c r="P61" s="113"/>
      <c r="Q61" s="126"/>
      <c r="R61" s="126"/>
      <c r="S61" s="126"/>
      <c r="T61" s="126"/>
      <c r="U61" s="126"/>
    </row>
    <row r="62" ht="15.75" customHeight="1">
      <c r="A62" s="126"/>
      <c r="B62" s="126"/>
      <c r="C62" s="126"/>
      <c r="D62" s="126"/>
      <c r="E62" s="126"/>
      <c r="F62" s="126"/>
      <c r="G62" s="162"/>
      <c r="H62" s="162"/>
      <c r="I62" s="113"/>
      <c r="J62" s="113"/>
      <c r="K62" s="113"/>
      <c r="L62" s="113"/>
      <c r="M62" s="113"/>
      <c r="N62" s="113"/>
      <c r="O62" s="113"/>
      <c r="P62" s="113"/>
      <c r="Q62" s="126"/>
      <c r="R62" s="126"/>
      <c r="S62" s="126"/>
      <c r="T62" s="126"/>
      <c r="U62" s="126"/>
    </row>
    <row r="63" ht="15.75" customHeight="1">
      <c r="A63" s="126"/>
      <c r="B63" s="126"/>
      <c r="C63" s="126"/>
      <c r="D63" s="126"/>
      <c r="E63" s="126"/>
      <c r="F63" s="126"/>
      <c r="G63" s="162"/>
      <c r="H63" s="162"/>
      <c r="I63" s="113"/>
      <c r="J63" s="113"/>
      <c r="K63" s="113"/>
      <c r="L63" s="113"/>
      <c r="M63" s="113"/>
      <c r="N63" s="113"/>
      <c r="O63" s="113"/>
      <c r="P63" s="113"/>
      <c r="Q63" s="126"/>
      <c r="R63" s="126"/>
      <c r="S63" s="126"/>
      <c r="T63" s="126"/>
      <c r="U63" s="126"/>
    </row>
    <row r="64" ht="15.75" customHeight="1">
      <c r="A64" s="126"/>
      <c r="B64" s="126"/>
      <c r="C64" s="126"/>
      <c r="D64" s="126"/>
      <c r="E64" s="126"/>
      <c r="F64" s="126"/>
      <c r="G64" s="162"/>
      <c r="H64" s="162"/>
      <c r="I64" s="113"/>
      <c r="J64" s="113"/>
      <c r="K64" s="113"/>
      <c r="L64" s="113"/>
      <c r="M64" s="113"/>
      <c r="N64" s="113"/>
      <c r="O64" s="113"/>
      <c r="P64" s="113"/>
      <c r="Q64" s="126"/>
      <c r="R64" s="126"/>
      <c r="S64" s="126"/>
      <c r="T64" s="126"/>
      <c r="U64" s="126"/>
    </row>
    <row r="65" ht="15.75" customHeight="1">
      <c r="A65" s="126"/>
      <c r="B65" s="126"/>
      <c r="C65" s="126"/>
      <c r="D65" s="126"/>
      <c r="E65" s="126"/>
      <c r="F65" s="126"/>
      <c r="G65" s="162"/>
      <c r="H65" s="162"/>
      <c r="I65" s="113"/>
      <c r="J65" s="113"/>
      <c r="K65" s="113"/>
      <c r="L65" s="113"/>
      <c r="M65" s="113"/>
      <c r="N65" s="113"/>
      <c r="O65" s="113"/>
      <c r="P65" s="113"/>
      <c r="Q65" s="126"/>
      <c r="R65" s="126"/>
      <c r="S65" s="126"/>
      <c r="T65" s="126"/>
      <c r="U65" s="126"/>
    </row>
    <row r="66" ht="15.75" customHeight="1">
      <c r="A66" s="126"/>
      <c r="B66" s="126"/>
      <c r="C66" s="126"/>
      <c r="D66" s="126"/>
      <c r="E66" s="126"/>
      <c r="F66" s="126"/>
      <c r="G66" s="162"/>
      <c r="H66" s="162"/>
      <c r="I66" s="113"/>
      <c r="J66" s="113"/>
      <c r="K66" s="113"/>
      <c r="L66" s="113"/>
      <c r="M66" s="113"/>
      <c r="N66" s="113"/>
      <c r="O66" s="113"/>
      <c r="P66" s="113"/>
      <c r="Q66" s="126"/>
      <c r="R66" s="126"/>
      <c r="S66" s="126"/>
      <c r="T66" s="126"/>
      <c r="U66" s="126"/>
    </row>
    <row r="67" ht="15.75" customHeight="1">
      <c r="A67" s="126"/>
      <c r="B67" s="126"/>
      <c r="C67" s="126"/>
      <c r="D67" s="126"/>
      <c r="E67" s="126"/>
      <c r="F67" s="126"/>
      <c r="G67" s="162"/>
      <c r="H67" s="162"/>
      <c r="I67" s="113"/>
      <c r="J67" s="113"/>
      <c r="K67" s="113"/>
      <c r="L67" s="113"/>
      <c r="M67" s="113"/>
      <c r="N67" s="113"/>
      <c r="O67" s="113"/>
      <c r="P67" s="113"/>
      <c r="Q67" s="126"/>
      <c r="R67" s="126"/>
      <c r="S67" s="126"/>
      <c r="T67" s="126"/>
      <c r="U67" s="126"/>
    </row>
    <row r="68" ht="15.75" customHeight="1">
      <c r="A68" s="126"/>
      <c r="B68" s="126"/>
      <c r="C68" s="126"/>
      <c r="D68" s="126"/>
      <c r="E68" s="126"/>
      <c r="F68" s="126"/>
      <c r="G68" s="162"/>
      <c r="H68" s="162"/>
      <c r="I68" s="113"/>
      <c r="J68" s="113"/>
      <c r="K68" s="113"/>
      <c r="L68" s="113"/>
      <c r="M68" s="113"/>
      <c r="N68" s="113"/>
      <c r="O68" s="113"/>
      <c r="P68" s="113"/>
      <c r="Q68" s="126"/>
      <c r="R68" s="126"/>
      <c r="S68" s="126"/>
      <c r="T68" s="126"/>
      <c r="U68" s="126"/>
    </row>
    <row r="69" ht="15.75" customHeight="1">
      <c r="A69" s="126"/>
      <c r="B69" s="126"/>
      <c r="C69" s="126"/>
      <c r="D69" s="126"/>
      <c r="E69" s="126"/>
      <c r="F69" s="126"/>
      <c r="G69" s="162"/>
      <c r="H69" s="162"/>
      <c r="I69" s="113"/>
      <c r="J69" s="113"/>
      <c r="K69" s="113"/>
      <c r="L69" s="113"/>
      <c r="M69" s="113"/>
      <c r="N69" s="113"/>
      <c r="O69" s="113"/>
      <c r="P69" s="113"/>
      <c r="Q69" s="126"/>
      <c r="R69" s="126"/>
      <c r="S69" s="126"/>
      <c r="T69" s="126"/>
      <c r="U69" s="126"/>
    </row>
    <row r="70" ht="15.75" customHeight="1">
      <c r="A70" s="126"/>
      <c r="B70" s="126"/>
      <c r="C70" s="126"/>
      <c r="D70" s="126"/>
      <c r="E70" s="126"/>
      <c r="F70" s="126"/>
      <c r="G70" s="162"/>
      <c r="H70" s="162"/>
      <c r="I70" s="113"/>
      <c r="J70" s="113"/>
      <c r="K70" s="113"/>
      <c r="L70" s="113"/>
      <c r="M70" s="113"/>
      <c r="N70" s="113"/>
      <c r="O70" s="113"/>
      <c r="P70" s="113"/>
      <c r="Q70" s="126"/>
      <c r="R70" s="126"/>
      <c r="S70" s="126"/>
      <c r="T70" s="126"/>
      <c r="U70" s="126"/>
    </row>
    <row r="71" ht="15.75" customHeight="1">
      <c r="A71" s="126"/>
      <c r="B71" s="126"/>
      <c r="C71" s="126"/>
      <c r="D71" s="126"/>
      <c r="E71" s="126"/>
      <c r="F71" s="126"/>
      <c r="G71" s="162"/>
      <c r="H71" s="162"/>
      <c r="I71" s="113"/>
      <c r="J71" s="113"/>
      <c r="K71" s="113"/>
      <c r="L71" s="113"/>
      <c r="M71" s="113"/>
      <c r="N71" s="113"/>
      <c r="O71" s="113"/>
      <c r="P71" s="113"/>
      <c r="Q71" s="126"/>
      <c r="R71" s="126"/>
      <c r="S71" s="126"/>
      <c r="U71" s="126"/>
    </row>
    <row r="72" ht="15.75" customHeight="1">
      <c r="A72" s="126"/>
      <c r="B72" s="126"/>
      <c r="C72" s="126"/>
      <c r="D72" s="126"/>
      <c r="E72" s="126"/>
      <c r="F72" s="126"/>
      <c r="G72" s="162"/>
      <c r="H72" s="162"/>
      <c r="I72" s="113"/>
      <c r="J72" s="113"/>
      <c r="K72" s="113"/>
      <c r="L72" s="113"/>
      <c r="M72" s="113"/>
      <c r="N72" s="113"/>
      <c r="O72" s="113"/>
      <c r="P72" s="113"/>
      <c r="Q72" s="126"/>
      <c r="R72" s="126"/>
      <c r="S72" s="126"/>
      <c r="U72" s="126"/>
    </row>
    <row r="73" ht="15.75" customHeight="1">
      <c r="A73" s="126"/>
      <c r="B73" s="126"/>
      <c r="C73" s="126"/>
      <c r="D73" s="126"/>
      <c r="E73" s="126"/>
      <c r="F73" s="126"/>
      <c r="G73" s="162"/>
      <c r="H73" s="162"/>
      <c r="I73" s="113"/>
      <c r="J73" s="113"/>
      <c r="K73" s="113"/>
      <c r="L73" s="113"/>
      <c r="M73" s="113"/>
      <c r="N73" s="113"/>
      <c r="O73" s="113"/>
      <c r="P73" s="113"/>
      <c r="Q73" s="126"/>
      <c r="R73" s="126"/>
      <c r="S73" s="126"/>
      <c r="U73" s="126"/>
    </row>
    <row r="74" ht="15.75" customHeight="1">
      <c r="A74" s="126"/>
      <c r="B74" s="126"/>
      <c r="C74" s="126"/>
      <c r="D74" s="126"/>
      <c r="E74" s="126"/>
      <c r="F74" s="126"/>
      <c r="G74" s="162"/>
      <c r="H74" s="162"/>
      <c r="I74" s="113"/>
      <c r="J74" s="113"/>
      <c r="K74" s="113"/>
      <c r="L74" s="113"/>
      <c r="M74" s="113"/>
      <c r="N74" s="113"/>
      <c r="O74" s="113"/>
      <c r="P74" s="113"/>
      <c r="Q74" s="126"/>
      <c r="R74" s="126"/>
      <c r="S74" s="126"/>
      <c r="U74" s="126"/>
    </row>
    <row r="75" ht="15.75" customHeight="1">
      <c r="A75" s="126"/>
      <c r="B75" s="126"/>
      <c r="C75" s="126"/>
      <c r="D75" s="126"/>
      <c r="E75" s="126"/>
      <c r="F75" s="126"/>
      <c r="G75" s="162"/>
      <c r="H75" s="162"/>
      <c r="I75" s="113"/>
      <c r="J75" s="113"/>
      <c r="K75" s="113"/>
      <c r="L75" s="113"/>
      <c r="M75" s="113"/>
      <c r="N75" s="113"/>
      <c r="O75" s="113"/>
      <c r="P75" s="113"/>
      <c r="Q75" s="126"/>
      <c r="R75" s="126"/>
      <c r="S75" s="126"/>
      <c r="U75" s="126"/>
    </row>
    <row r="76" ht="15.75" customHeight="1">
      <c r="A76" s="126"/>
      <c r="B76" s="126"/>
      <c r="C76" s="126"/>
      <c r="D76" s="126"/>
      <c r="E76" s="126"/>
      <c r="F76" s="126"/>
      <c r="G76" s="162"/>
      <c r="H76" s="162"/>
      <c r="I76" s="113"/>
      <c r="J76" s="113"/>
      <c r="K76" s="113"/>
      <c r="L76" s="113"/>
      <c r="M76" s="113"/>
      <c r="N76" s="113"/>
      <c r="O76" s="113"/>
      <c r="P76" s="113"/>
      <c r="Q76" s="126"/>
      <c r="R76" s="126"/>
      <c r="S76" s="126"/>
      <c r="U76" s="126"/>
    </row>
    <row r="77" ht="15.75" customHeight="1">
      <c r="A77" s="126"/>
      <c r="B77" s="126"/>
      <c r="C77" s="126"/>
      <c r="D77" s="126"/>
      <c r="E77" s="126"/>
      <c r="F77" s="126"/>
      <c r="G77" s="162"/>
      <c r="H77" s="162"/>
      <c r="I77" s="113"/>
      <c r="J77" s="113"/>
      <c r="K77" s="113"/>
      <c r="L77" s="113"/>
      <c r="M77" s="113"/>
      <c r="N77" s="113"/>
      <c r="O77" s="113"/>
      <c r="P77" s="113"/>
      <c r="Q77" s="126"/>
      <c r="R77" s="126"/>
      <c r="S77" s="126"/>
      <c r="U77" s="126"/>
    </row>
    <row r="78" ht="15.75" customHeight="1">
      <c r="A78" s="126"/>
      <c r="B78" s="126"/>
      <c r="C78" s="126"/>
      <c r="D78" s="126"/>
      <c r="E78" s="126"/>
      <c r="F78" s="126"/>
      <c r="G78" s="162"/>
      <c r="H78" s="162"/>
      <c r="I78" s="113"/>
      <c r="J78" s="113"/>
      <c r="K78" s="113"/>
      <c r="L78" s="113"/>
      <c r="M78" s="113"/>
      <c r="N78" s="113"/>
      <c r="O78" s="113"/>
      <c r="P78" s="113"/>
      <c r="Q78" s="126"/>
      <c r="R78" s="126"/>
      <c r="S78" s="126"/>
      <c r="U78" s="126"/>
    </row>
    <row r="79" ht="15.75" customHeight="1">
      <c r="A79" s="126"/>
      <c r="B79" s="126"/>
      <c r="C79" s="126"/>
      <c r="D79" s="126"/>
      <c r="E79" s="126"/>
      <c r="F79" s="126"/>
      <c r="G79" s="162"/>
      <c r="H79" s="162"/>
      <c r="I79" s="113"/>
      <c r="J79" s="113"/>
      <c r="K79" s="113"/>
      <c r="L79" s="113"/>
      <c r="M79" s="113"/>
      <c r="N79" s="113"/>
      <c r="O79" s="113"/>
      <c r="P79" s="113"/>
      <c r="Q79" s="126"/>
      <c r="R79" s="126"/>
      <c r="S79" s="126"/>
      <c r="U79" s="126"/>
    </row>
    <row r="80" ht="15.75" customHeight="1">
      <c r="A80" s="126"/>
      <c r="B80" s="126"/>
      <c r="C80" s="126"/>
      <c r="D80" s="126"/>
      <c r="E80" s="126"/>
      <c r="F80" s="126"/>
      <c r="G80" s="162"/>
      <c r="H80" s="162"/>
      <c r="I80" s="113"/>
      <c r="J80" s="113"/>
      <c r="K80" s="113"/>
      <c r="L80" s="113"/>
      <c r="M80" s="113"/>
      <c r="N80" s="113"/>
      <c r="O80" s="113"/>
      <c r="P80" s="113"/>
      <c r="Q80" s="126"/>
      <c r="R80" s="126"/>
      <c r="S80" s="126"/>
      <c r="U80" s="126"/>
    </row>
    <row r="81" ht="15.75" customHeight="1">
      <c r="A81" s="126"/>
      <c r="B81" s="126"/>
      <c r="C81" s="126"/>
      <c r="D81" s="126"/>
      <c r="E81" s="126"/>
      <c r="F81" s="126"/>
      <c r="G81" s="162"/>
      <c r="H81" s="162"/>
      <c r="I81" s="113"/>
      <c r="J81" s="113"/>
      <c r="K81" s="113"/>
      <c r="L81" s="113"/>
      <c r="M81" s="113"/>
      <c r="N81" s="113"/>
      <c r="O81" s="113"/>
      <c r="P81" s="113"/>
      <c r="Q81" s="126"/>
      <c r="R81" s="126"/>
      <c r="S81" s="126"/>
      <c r="U81" s="126"/>
    </row>
    <row r="82" ht="15.75" customHeight="1">
      <c r="A82" s="126"/>
      <c r="B82" s="126"/>
      <c r="C82" s="126"/>
      <c r="D82" s="126"/>
      <c r="E82" s="126"/>
      <c r="F82" s="126"/>
      <c r="G82" s="162"/>
      <c r="H82" s="162"/>
      <c r="I82" s="113"/>
      <c r="J82" s="113"/>
      <c r="K82" s="113"/>
      <c r="L82" s="113"/>
      <c r="M82" s="113"/>
      <c r="N82" s="113"/>
      <c r="O82" s="113"/>
      <c r="P82" s="113"/>
      <c r="Q82" s="126"/>
      <c r="R82" s="126"/>
      <c r="S82" s="126"/>
      <c r="U82" s="126"/>
    </row>
    <row r="83" ht="15.75" customHeight="1">
      <c r="A83" s="126"/>
      <c r="B83" s="126"/>
      <c r="C83" s="126"/>
      <c r="D83" s="126"/>
      <c r="E83" s="126"/>
      <c r="F83" s="126"/>
      <c r="G83" s="162"/>
      <c r="H83" s="162"/>
      <c r="I83" s="113"/>
      <c r="J83" s="113"/>
      <c r="K83" s="113"/>
      <c r="L83" s="113"/>
      <c r="M83" s="113"/>
      <c r="N83" s="113"/>
      <c r="O83" s="113"/>
      <c r="P83" s="113"/>
      <c r="Q83" s="126"/>
      <c r="R83" s="126"/>
      <c r="S83" s="126"/>
      <c r="U83" s="126"/>
    </row>
    <row r="84" ht="15.75" customHeight="1">
      <c r="A84" s="126"/>
      <c r="B84" s="126"/>
      <c r="C84" s="126"/>
      <c r="D84" s="126"/>
      <c r="E84" s="126"/>
      <c r="F84" s="126"/>
      <c r="G84" s="162"/>
      <c r="H84" s="162"/>
      <c r="I84" s="113"/>
      <c r="J84" s="113"/>
      <c r="K84" s="113"/>
      <c r="L84" s="113"/>
      <c r="M84" s="113"/>
      <c r="N84" s="113"/>
      <c r="O84" s="113"/>
      <c r="P84" s="113"/>
      <c r="Q84" s="126"/>
      <c r="R84" s="126"/>
      <c r="S84" s="126"/>
      <c r="U84" s="126"/>
    </row>
    <row r="85" ht="15.75" customHeight="1">
      <c r="A85" s="126"/>
      <c r="B85" s="126"/>
      <c r="C85" s="126"/>
      <c r="D85" s="126"/>
      <c r="E85" s="126"/>
      <c r="F85" s="126"/>
      <c r="G85" s="162"/>
      <c r="H85" s="162"/>
      <c r="I85" s="113"/>
      <c r="J85" s="113"/>
      <c r="K85" s="113"/>
      <c r="L85" s="113"/>
      <c r="M85" s="113"/>
      <c r="N85" s="113"/>
      <c r="O85" s="113"/>
      <c r="P85" s="113"/>
      <c r="Q85" s="126"/>
      <c r="R85" s="126"/>
      <c r="S85" s="126"/>
      <c r="U85" s="126"/>
    </row>
    <row r="86" ht="15.75" customHeight="1">
      <c r="A86" s="126"/>
      <c r="B86" s="126"/>
      <c r="C86" s="126"/>
      <c r="D86" s="126"/>
      <c r="E86" s="126"/>
      <c r="F86" s="126"/>
      <c r="G86" s="162"/>
      <c r="H86" s="162"/>
      <c r="I86" s="113"/>
      <c r="J86" s="113"/>
      <c r="K86" s="113"/>
      <c r="L86" s="113"/>
      <c r="M86" s="113"/>
      <c r="N86" s="113"/>
      <c r="O86" s="113"/>
      <c r="P86" s="113"/>
      <c r="Q86" s="126"/>
      <c r="R86" s="126"/>
      <c r="S86" s="126"/>
      <c r="U86" s="126"/>
    </row>
    <row r="87" ht="15.75" customHeight="1">
      <c r="B87" s="126"/>
      <c r="E87" s="126"/>
      <c r="G87" s="162"/>
      <c r="H87" s="162"/>
      <c r="I87" s="113"/>
      <c r="J87" s="113"/>
      <c r="K87" s="113"/>
      <c r="L87" s="113"/>
      <c r="M87" s="113"/>
      <c r="N87" s="113"/>
      <c r="O87" s="113"/>
      <c r="P87" s="113"/>
      <c r="Q87" s="126"/>
      <c r="R87" s="126"/>
    </row>
    <row r="88" ht="15.75" customHeight="1">
      <c r="B88" s="126"/>
      <c r="E88" s="126"/>
      <c r="G88" s="162"/>
      <c r="H88" s="162"/>
      <c r="I88" s="113"/>
      <c r="J88" s="113"/>
      <c r="K88" s="113"/>
      <c r="L88" s="113"/>
      <c r="M88" s="113"/>
      <c r="N88" s="113"/>
      <c r="O88" s="113"/>
      <c r="P88" s="113"/>
      <c r="Q88" s="126"/>
      <c r="R88" s="126"/>
    </row>
    <row r="89" ht="15.75" customHeight="1">
      <c r="B89" s="126"/>
      <c r="E89" s="126"/>
      <c r="G89" s="162"/>
      <c r="H89" s="162"/>
      <c r="I89" s="113"/>
      <c r="J89" s="113"/>
      <c r="K89" s="113"/>
      <c r="L89" s="113"/>
      <c r="M89" s="113"/>
      <c r="N89" s="113"/>
      <c r="O89" s="113"/>
      <c r="P89" s="113"/>
      <c r="Q89" s="126"/>
      <c r="R89" s="126"/>
    </row>
    <row r="90" ht="15.75" customHeight="1">
      <c r="B90" s="126"/>
      <c r="E90" s="126"/>
      <c r="G90" s="162"/>
      <c r="H90" s="162"/>
      <c r="I90" s="113"/>
      <c r="J90" s="113"/>
      <c r="K90" s="113"/>
      <c r="L90" s="113"/>
      <c r="M90" s="113"/>
      <c r="N90" s="113"/>
      <c r="O90" s="113"/>
      <c r="P90" s="113"/>
      <c r="Q90" s="126"/>
      <c r="R90" s="126"/>
    </row>
    <row r="91" ht="15.75" customHeight="1">
      <c r="B91" s="126"/>
      <c r="E91" s="126"/>
      <c r="G91" s="162"/>
      <c r="H91" s="162"/>
      <c r="I91" s="113"/>
      <c r="J91" s="113"/>
      <c r="K91" s="113"/>
      <c r="L91" s="113"/>
      <c r="M91" s="113"/>
      <c r="N91" s="113"/>
      <c r="O91" s="113"/>
      <c r="P91" s="113"/>
      <c r="Q91" s="126"/>
      <c r="R91" s="126"/>
    </row>
    <row r="92" ht="15.75" customHeight="1">
      <c r="B92" s="126"/>
      <c r="E92" s="126"/>
      <c r="G92" s="162"/>
      <c r="H92" s="162"/>
      <c r="I92" s="113"/>
      <c r="J92" s="113"/>
      <c r="K92" s="113"/>
      <c r="L92" s="113"/>
      <c r="M92" s="113"/>
      <c r="N92" s="113"/>
      <c r="O92" s="113"/>
      <c r="P92" s="113"/>
      <c r="Q92" s="126"/>
      <c r="R92" s="126"/>
    </row>
    <row r="93" ht="15.75" customHeight="1">
      <c r="B93" s="126"/>
      <c r="E93" s="126"/>
      <c r="G93" s="162"/>
      <c r="H93" s="162"/>
      <c r="I93" s="113"/>
      <c r="J93" s="113"/>
      <c r="K93" s="113"/>
      <c r="L93" s="113"/>
      <c r="M93" s="113"/>
      <c r="N93" s="113"/>
      <c r="O93" s="113"/>
      <c r="P93" s="113"/>
      <c r="Q93" s="126"/>
      <c r="R93" s="126"/>
    </row>
    <row r="94" ht="15.75" customHeight="1">
      <c r="B94" s="126"/>
      <c r="E94" s="126"/>
      <c r="G94" s="162"/>
      <c r="H94" s="162"/>
      <c r="I94" s="113"/>
      <c r="J94" s="113"/>
      <c r="K94" s="113"/>
      <c r="L94" s="113"/>
      <c r="M94" s="113"/>
      <c r="N94" s="113"/>
      <c r="O94" s="113"/>
      <c r="P94" s="113"/>
      <c r="Q94" s="126"/>
      <c r="R94" s="126"/>
    </row>
    <row r="95" ht="15.75" customHeight="1">
      <c r="B95" s="126"/>
      <c r="E95" s="126"/>
      <c r="G95" s="162"/>
      <c r="H95" s="162"/>
      <c r="I95" s="113"/>
      <c r="J95" s="113"/>
      <c r="K95" s="113"/>
      <c r="L95" s="113"/>
      <c r="M95" s="113"/>
      <c r="N95" s="113"/>
      <c r="O95" s="113"/>
      <c r="P95" s="113"/>
      <c r="Q95" s="126"/>
      <c r="R95" s="126"/>
    </row>
    <row r="96" ht="15.75" customHeight="1">
      <c r="B96" s="126"/>
      <c r="E96" s="126"/>
      <c r="G96" s="162"/>
      <c r="H96" s="162"/>
      <c r="I96" s="113"/>
      <c r="J96" s="113"/>
      <c r="K96" s="113"/>
      <c r="L96" s="113"/>
      <c r="M96" s="113"/>
      <c r="N96" s="113"/>
      <c r="O96" s="113"/>
      <c r="P96" s="113"/>
      <c r="Q96" s="126"/>
      <c r="R96" s="126"/>
    </row>
    <row r="97" ht="15.75" customHeight="1">
      <c r="B97" s="126"/>
      <c r="E97" s="126"/>
      <c r="G97" s="162"/>
      <c r="H97" s="162"/>
      <c r="I97" s="113"/>
      <c r="J97" s="113"/>
      <c r="K97" s="113"/>
      <c r="L97" s="113"/>
      <c r="M97" s="113"/>
      <c r="N97" s="113"/>
      <c r="O97" s="113"/>
      <c r="P97" s="113"/>
      <c r="Q97" s="126"/>
      <c r="R97" s="126"/>
    </row>
    <row r="98" ht="15.75" customHeight="1">
      <c r="B98" s="126"/>
      <c r="E98" s="126"/>
      <c r="G98" s="162"/>
      <c r="H98" s="162"/>
      <c r="I98" s="113"/>
      <c r="J98" s="113"/>
      <c r="K98" s="113"/>
      <c r="L98" s="113"/>
      <c r="M98" s="113"/>
      <c r="N98" s="113"/>
      <c r="O98" s="113"/>
      <c r="P98" s="113"/>
      <c r="Q98" s="126"/>
      <c r="R98" s="126"/>
    </row>
    <row r="99" ht="15.75" customHeight="1">
      <c r="B99" s="126"/>
      <c r="E99" s="126"/>
      <c r="G99" s="162"/>
      <c r="H99" s="162"/>
      <c r="I99" s="113"/>
      <c r="J99" s="113"/>
      <c r="K99" s="113"/>
      <c r="L99" s="113"/>
      <c r="M99" s="113"/>
      <c r="N99" s="113"/>
      <c r="O99" s="113"/>
      <c r="P99" s="113"/>
      <c r="Q99" s="126"/>
      <c r="R99" s="126"/>
    </row>
    <row r="100" ht="15.75" customHeight="1">
      <c r="B100" s="126"/>
      <c r="E100" s="126"/>
      <c r="G100" s="162"/>
      <c r="H100" s="162"/>
      <c r="I100" s="113"/>
      <c r="J100" s="113"/>
      <c r="K100" s="113"/>
      <c r="L100" s="113"/>
      <c r="M100" s="113"/>
      <c r="N100" s="113"/>
      <c r="O100" s="113"/>
      <c r="P100" s="113"/>
      <c r="Q100" s="126"/>
      <c r="R100" s="126"/>
    </row>
    <row r="101" ht="15.75" customHeight="1">
      <c r="B101" s="126"/>
      <c r="E101" s="126"/>
      <c r="G101" s="162"/>
      <c r="H101" s="162"/>
      <c r="I101" s="113"/>
      <c r="J101" s="113"/>
      <c r="K101" s="113"/>
      <c r="L101" s="113"/>
      <c r="M101" s="113"/>
      <c r="N101" s="113"/>
      <c r="O101" s="113"/>
      <c r="P101" s="113"/>
      <c r="Q101" s="126"/>
      <c r="R101" s="126"/>
    </row>
    <row r="102" ht="15.75" customHeight="1">
      <c r="B102" s="126"/>
      <c r="E102" s="126"/>
      <c r="G102" s="162"/>
      <c r="H102" s="162"/>
      <c r="I102" s="113"/>
      <c r="J102" s="113"/>
      <c r="K102" s="113"/>
      <c r="L102" s="113"/>
      <c r="M102" s="113"/>
      <c r="N102" s="113"/>
      <c r="O102" s="113"/>
      <c r="P102" s="113"/>
      <c r="Q102" s="126"/>
      <c r="R102" s="126"/>
    </row>
    <row r="103" ht="15.75" customHeight="1">
      <c r="B103" s="126"/>
      <c r="E103" s="126"/>
      <c r="G103" s="162"/>
      <c r="H103" s="162"/>
      <c r="I103" s="113"/>
      <c r="J103" s="113"/>
      <c r="K103" s="113"/>
      <c r="L103" s="113"/>
      <c r="M103" s="113"/>
      <c r="N103" s="113"/>
      <c r="O103" s="113"/>
      <c r="P103" s="113"/>
      <c r="Q103" s="126"/>
      <c r="R103" s="126"/>
    </row>
    <row r="104" ht="15.75" customHeight="1">
      <c r="B104" s="126"/>
      <c r="E104" s="126"/>
      <c r="G104" s="162"/>
      <c r="H104" s="162"/>
      <c r="I104" s="113"/>
      <c r="J104" s="113"/>
      <c r="K104" s="113"/>
      <c r="L104" s="113"/>
      <c r="M104" s="113"/>
      <c r="N104" s="113"/>
      <c r="O104" s="113"/>
      <c r="P104" s="113"/>
      <c r="Q104" s="126"/>
      <c r="R104" s="126"/>
    </row>
    <row r="105" ht="15.75" customHeight="1">
      <c r="B105" s="126"/>
      <c r="E105" s="126"/>
      <c r="G105" s="162"/>
      <c r="H105" s="162"/>
      <c r="I105" s="113"/>
      <c r="J105" s="113"/>
      <c r="K105" s="113"/>
      <c r="L105" s="113"/>
      <c r="M105" s="113"/>
      <c r="N105" s="113"/>
      <c r="O105" s="113"/>
      <c r="P105" s="113"/>
      <c r="Q105" s="126"/>
      <c r="R105" s="126"/>
    </row>
    <row r="106" ht="15.75" customHeight="1">
      <c r="B106" s="126"/>
      <c r="E106" s="126"/>
      <c r="G106" s="162"/>
      <c r="H106" s="162"/>
      <c r="I106" s="113"/>
      <c r="J106" s="113"/>
      <c r="K106" s="113"/>
      <c r="L106" s="113"/>
      <c r="M106" s="113"/>
      <c r="N106" s="113"/>
      <c r="O106" s="113"/>
      <c r="P106" s="113"/>
      <c r="Q106" s="126"/>
      <c r="R106" s="126"/>
    </row>
    <row r="107" ht="15.75" customHeight="1">
      <c r="B107" s="126"/>
      <c r="E107" s="126"/>
      <c r="G107" s="162"/>
      <c r="H107" s="162"/>
      <c r="I107" s="113"/>
      <c r="J107" s="113"/>
      <c r="K107" s="113"/>
      <c r="L107" s="113"/>
      <c r="M107" s="113"/>
      <c r="N107" s="113"/>
      <c r="O107" s="113"/>
      <c r="P107" s="113"/>
      <c r="Q107" s="126"/>
      <c r="R107" s="126"/>
    </row>
    <row r="108" ht="15.75" customHeight="1">
      <c r="B108" s="126"/>
      <c r="E108" s="126"/>
      <c r="G108" s="162"/>
      <c r="H108" s="162"/>
      <c r="I108" s="113"/>
      <c r="J108" s="113"/>
      <c r="K108" s="113"/>
      <c r="L108" s="113"/>
      <c r="M108" s="113"/>
      <c r="N108" s="113"/>
      <c r="O108" s="113"/>
      <c r="P108" s="113"/>
      <c r="Q108" s="126"/>
      <c r="R108" s="126"/>
    </row>
    <row r="109" ht="15.75" customHeight="1">
      <c r="B109" s="126"/>
      <c r="E109" s="126"/>
      <c r="G109" s="162"/>
      <c r="H109" s="162"/>
      <c r="I109" s="113"/>
      <c r="J109" s="113"/>
      <c r="K109" s="113"/>
      <c r="L109" s="113"/>
      <c r="M109" s="113"/>
      <c r="N109" s="113"/>
      <c r="O109" s="113"/>
      <c r="P109" s="113"/>
      <c r="Q109" s="126"/>
      <c r="R109" s="126"/>
    </row>
    <row r="110" ht="15.75" customHeight="1">
      <c r="B110" s="126"/>
      <c r="E110" s="126"/>
      <c r="G110" s="162"/>
      <c r="H110" s="162"/>
      <c r="I110" s="113"/>
      <c r="J110" s="113"/>
      <c r="K110" s="113"/>
      <c r="L110" s="113"/>
      <c r="M110" s="113"/>
      <c r="N110" s="113"/>
      <c r="O110" s="113"/>
      <c r="P110" s="113"/>
      <c r="Q110" s="126"/>
      <c r="R110" s="126"/>
    </row>
    <row r="111" ht="15.75" customHeight="1">
      <c r="B111" s="126"/>
      <c r="E111" s="126"/>
      <c r="G111" s="162"/>
      <c r="H111" s="162"/>
      <c r="I111" s="113"/>
      <c r="J111" s="113"/>
      <c r="K111" s="113"/>
      <c r="L111" s="113"/>
      <c r="M111" s="113"/>
      <c r="N111" s="113"/>
      <c r="O111" s="113"/>
      <c r="P111" s="113"/>
      <c r="Q111" s="126"/>
      <c r="R111" s="126"/>
    </row>
    <row r="112" ht="15.75" customHeight="1">
      <c r="B112" s="126"/>
      <c r="E112" s="126"/>
      <c r="G112" s="162"/>
      <c r="H112" s="162"/>
      <c r="I112" s="113"/>
      <c r="J112" s="113"/>
      <c r="K112" s="113"/>
      <c r="L112" s="113"/>
      <c r="M112" s="113"/>
      <c r="N112" s="113"/>
      <c r="O112" s="113"/>
      <c r="P112" s="113"/>
      <c r="Q112" s="126"/>
      <c r="R112" s="126"/>
    </row>
    <row r="113" ht="15.75" customHeight="1">
      <c r="B113" s="126"/>
      <c r="E113" s="126"/>
      <c r="G113" s="162"/>
      <c r="H113" s="162"/>
      <c r="I113" s="113"/>
      <c r="J113" s="113"/>
      <c r="K113" s="113"/>
      <c r="L113" s="113"/>
      <c r="M113" s="113"/>
      <c r="N113" s="113"/>
      <c r="O113" s="113"/>
      <c r="P113" s="113"/>
      <c r="Q113" s="126"/>
      <c r="R113" s="126"/>
    </row>
    <row r="114" ht="15.75" customHeight="1">
      <c r="B114" s="126"/>
      <c r="E114" s="126"/>
      <c r="G114" s="162"/>
      <c r="H114" s="162"/>
      <c r="I114" s="113"/>
      <c r="J114" s="113"/>
      <c r="K114" s="113"/>
      <c r="L114" s="113"/>
      <c r="M114" s="113"/>
      <c r="N114" s="113"/>
      <c r="O114" s="113"/>
      <c r="P114" s="113"/>
      <c r="Q114" s="126"/>
      <c r="R114" s="126"/>
    </row>
    <row r="115" ht="15.75" customHeight="1">
      <c r="B115" s="126"/>
      <c r="E115" s="126"/>
      <c r="G115" s="162"/>
      <c r="H115" s="162"/>
      <c r="I115" s="113"/>
      <c r="J115" s="113"/>
      <c r="K115" s="113"/>
      <c r="L115" s="113"/>
      <c r="M115" s="113"/>
      <c r="N115" s="113"/>
      <c r="O115" s="113"/>
      <c r="P115" s="113"/>
      <c r="Q115" s="126"/>
      <c r="R115" s="126"/>
    </row>
    <row r="116" ht="15.75" customHeight="1">
      <c r="B116" s="126"/>
      <c r="E116" s="126"/>
      <c r="G116" s="162"/>
      <c r="H116" s="162"/>
      <c r="I116" s="113"/>
      <c r="J116" s="113"/>
      <c r="K116" s="113"/>
      <c r="L116" s="113"/>
      <c r="M116" s="113"/>
      <c r="N116" s="113"/>
      <c r="O116" s="113"/>
      <c r="P116" s="113"/>
      <c r="Q116" s="126"/>
      <c r="R116" s="126"/>
    </row>
    <row r="117" ht="15.75" customHeight="1">
      <c r="B117" s="126"/>
      <c r="E117" s="126"/>
      <c r="G117" s="162"/>
      <c r="H117" s="162"/>
      <c r="I117" s="113"/>
      <c r="J117" s="113"/>
      <c r="K117" s="113"/>
      <c r="L117" s="113"/>
      <c r="M117" s="113"/>
      <c r="N117" s="113"/>
      <c r="O117" s="113"/>
      <c r="P117" s="113"/>
      <c r="Q117" s="126"/>
      <c r="R117" s="126"/>
    </row>
    <row r="118" ht="15.75" customHeight="1">
      <c r="B118" s="126"/>
      <c r="E118" s="126"/>
      <c r="G118" s="162"/>
      <c r="H118" s="162"/>
      <c r="I118" s="113"/>
      <c r="J118" s="113"/>
      <c r="K118" s="113"/>
      <c r="L118" s="113"/>
      <c r="M118" s="113"/>
      <c r="N118" s="113"/>
      <c r="O118" s="113"/>
      <c r="P118" s="113"/>
      <c r="Q118" s="126"/>
      <c r="R118" s="126"/>
    </row>
    <row r="119" ht="15.75" customHeight="1">
      <c r="B119" s="126"/>
      <c r="E119" s="126"/>
      <c r="G119" s="162"/>
      <c r="H119" s="162"/>
      <c r="I119" s="113"/>
      <c r="J119" s="113"/>
      <c r="K119" s="113"/>
      <c r="L119" s="113"/>
      <c r="M119" s="113"/>
      <c r="N119" s="113"/>
      <c r="O119" s="113"/>
      <c r="P119" s="113"/>
      <c r="Q119" s="126"/>
      <c r="R119" s="126"/>
    </row>
    <row r="120" ht="15.75" customHeight="1">
      <c r="B120" s="126"/>
      <c r="E120" s="126"/>
      <c r="G120" s="162"/>
      <c r="H120" s="162"/>
      <c r="I120" s="113"/>
      <c r="J120" s="113"/>
      <c r="K120" s="113"/>
      <c r="L120" s="113"/>
      <c r="M120" s="113"/>
      <c r="N120" s="113"/>
      <c r="O120" s="113"/>
      <c r="P120" s="113"/>
      <c r="Q120" s="126"/>
      <c r="R120" s="126"/>
    </row>
    <row r="121" ht="15.75" customHeight="1">
      <c r="B121" s="126"/>
      <c r="E121" s="126"/>
      <c r="G121" s="162"/>
      <c r="H121" s="162"/>
      <c r="I121" s="113"/>
      <c r="J121" s="113"/>
      <c r="K121" s="113"/>
      <c r="L121" s="113"/>
      <c r="M121" s="113"/>
      <c r="N121" s="113"/>
      <c r="O121" s="113"/>
      <c r="P121" s="113"/>
      <c r="Q121" s="126"/>
      <c r="R121" s="126"/>
    </row>
    <row r="122" ht="15.75" customHeight="1">
      <c r="B122" s="126"/>
      <c r="E122" s="126"/>
      <c r="G122" s="162"/>
      <c r="H122" s="162"/>
      <c r="I122" s="113"/>
      <c r="J122" s="113"/>
      <c r="K122" s="113"/>
      <c r="L122" s="113"/>
      <c r="M122" s="113"/>
      <c r="N122" s="113"/>
      <c r="O122" s="113"/>
      <c r="P122" s="113"/>
      <c r="Q122" s="126"/>
      <c r="R122" s="126"/>
    </row>
    <row r="123" ht="15.75" customHeight="1">
      <c r="B123" s="126"/>
      <c r="E123" s="126"/>
      <c r="G123" s="162"/>
      <c r="H123" s="162"/>
      <c r="I123" s="113"/>
      <c r="J123" s="113"/>
      <c r="K123" s="113"/>
      <c r="L123" s="113"/>
      <c r="M123" s="113"/>
      <c r="N123" s="113"/>
      <c r="O123" s="113"/>
      <c r="P123" s="113"/>
      <c r="Q123" s="126"/>
      <c r="R123" s="126"/>
    </row>
    <row r="124" ht="15.75" customHeight="1">
      <c r="B124" s="126"/>
      <c r="E124" s="126"/>
      <c r="G124" s="162"/>
      <c r="H124" s="162"/>
      <c r="I124" s="113"/>
      <c r="J124" s="113"/>
      <c r="K124" s="113"/>
      <c r="L124" s="113"/>
      <c r="M124" s="113"/>
      <c r="N124" s="113"/>
      <c r="O124" s="113"/>
      <c r="P124" s="113"/>
      <c r="Q124" s="126"/>
      <c r="R124" s="126"/>
    </row>
    <row r="125" ht="15.75" customHeight="1">
      <c r="B125" s="126"/>
      <c r="E125" s="126"/>
      <c r="G125" s="162"/>
      <c r="H125" s="162"/>
      <c r="I125" s="113"/>
      <c r="J125" s="113"/>
      <c r="K125" s="113"/>
      <c r="L125" s="113"/>
      <c r="M125" s="113"/>
      <c r="N125" s="113"/>
      <c r="O125" s="113"/>
      <c r="P125" s="113"/>
      <c r="Q125" s="126"/>
      <c r="R125" s="126"/>
    </row>
    <row r="126" ht="15.75" customHeight="1">
      <c r="B126" s="126"/>
      <c r="E126" s="126"/>
      <c r="G126" s="162"/>
      <c r="H126" s="162"/>
      <c r="I126" s="113"/>
      <c r="J126" s="113"/>
      <c r="K126" s="113"/>
      <c r="L126" s="113"/>
      <c r="M126" s="113"/>
      <c r="N126" s="113"/>
      <c r="O126" s="113"/>
      <c r="P126" s="113"/>
      <c r="Q126" s="126"/>
      <c r="R126" s="126"/>
    </row>
    <row r="127" ht="15.75" customHeight="1">
      <c r="B127" s="126"/>
      <c r="E127" s="126"/>
      <c r="G127" s="162"/>
      <c r="H127" s="162"/>
      <c r="I127" s="113"/>
      <c r="J127" s="113"/>
      <c r="K127" s="113"/>
      <c r="L127" s="113"/>
      <c r="M127" s="113"/>
      <c r="N127" s="113"/>
      <c r="O127" s="113"/>
      <c r="P127" s="113"/>
      <c r="Q127" s="126"/>
      <c r="R127" s="126"/>
    </row>
    <row r="128" ht="15.75" customHeight="1">
      <c r="B128" s="126"/>
      <c r="E128" s="126"/>
      <c r="G128" s="162"/>
      <c r="H128" s="162"/>
      <c r="I128" s="113"/>
      <c r="J128" s="113"/>
      <c r="K128" s="113"/>
      <c r="L128" s="113"/>
      <c r="M128" s="113"/>
      <c r="N128" s="113"/>
      <c r="O128" s="113"/>
      <c r="P128" s="113"/>
      <c r="Q128" s="126"/>
      <c r="R128" s="126"/>
    </row>
    <row r="129" ht="15.75" customHeight="1">
      <c r="B129" s="126"/>
      <c r="E129" s="126"/>
      <c r="G129" s="162"/>
      <c r="H129" s="162"/>
      <c r="I129" s="113"/>
      <c r="J129" s="113"/>
      <c r="K129" s="113"/>
      <c r="L129" s="113"/>
      <c r="M129" s="113"/>
      <c r="N129" s="113"/>
      <c r="O129" s="113"/>
      <c r="P129" s="113"/>
      <c r="Q129" s="126"/>
      <c r="R129" s="126"/>
    </row>
    <row r="130" ht="15.75" customHeight="1">
      <c r="B130" s="126"/>
      <c r="E130" s="126"/>
      <c r="G130" s="162"/>
      <c r="H130" s="162"/>
      <c r="I130" s="113"/>
      <c r="J130" s="113"/>
      <c r="K130" s="113"/>
      <c r="L130" s="113"/>
      <c r="M130" s="113"/>
      <c r="N130" s="113"/>
      <c r="O130" s="113"/>
      <c r="P130" s="113"/>
      <c r="Q130" s="126"/>
      <c r="R130" s="126"/>
    </row>
    <row r="131" ht="15.75" customHeight="1">
      <c r="B131" s="126"/>
      <c r="E131" s="126"/>
      <c r="G131" s="162"/>
      <c r="H131" s="162"/>
      <c r="I131" s="113"/>
      <c r="J131" s="113"/>
      <c r="K131" s="113"/>
      <c r="L131" s="113"/>
      <c r="M131" s="113"/>
      <c r="N131" s="113"/>
      <c r="O131" s="113"/>
      <c r="P131" s="113"/>
      <c r="Q131" s="126"/>
      <c r="R131" s="126"/>
    </row>
    <row r="132" ht="15.75" customHeight="1">
      <c r="B132" s="126"/>
      <c r="E132" s="126"/>
      <c r="G132" s="162"/>
      <c r="H132" s="162"/>
      <c r="I132" s="113"/>
      <c r="J132" s="113"/>
      <c r="K132" s="113"/>
      <c r="L132" s="113"/>
      <c r="M132" s="113"/>
      <c r="N132" s="113"/>
      <c r="O132" s="113"/>
      <c r="P132" s="113"/>
      <c r="Q132" s="126"/>
      <c r="R132" s="126"/>
    </row>
    <row r="133" ht="15.75" customHeight="1">
      <c r="B133" s="126"/>
      <c r="E133" s="126"/>
      <c r="G133" s="162"/>
      <c r="H133" s="162"/>
      <c r="I133" s="113"/>
      <c r="J133" s="113"/>
      <c r="K133" s="113"/>
      <c r="L133" s="113"/>
      <c r="M133" s="113"/>
      <c r="N133" s="113"/>
      <c r="O133" s="113"/>
      <c r="P133" s="113"/>
      <c r="Q133" s="126"/>
      <c r="R133" s="126"/>
    </row>
    <row r="134" ht="15.75" customHeight="1">
      <c r="B134" s="126"/>
      <c r="E134" s="126"/>
      <c r="G134" s="162"/>
      <c r="H134" s="162"/>
      <c r="I134" s="113"/>
      <c r="J134" s="113"/>
      <c r="K134" s="113"/>
      <c r="L134" s="113"/>
      <c r="M134" s="113"/>
      <c r="N134" s="113"/>
      <c r="O134" s="113"/>
      <c r="P134" s="113"/>
      <c r="Q134" s="126"/>
      <c r="R134" s="126"/>
    </row>
    <row r="135" ht="15.75" customHeight="1">
      <c r="B135" s="126"/>
      <c r="E135" s="126"/>
      <c r="G135" s="162"/>
      <c r="H135" s="162"/>
      <c r="I135" s="113"/>
      <c r="J135" s="113"/>
      <c r="K135" s="113"/>
      <c r="L135" s="113"/>
      <c r="M135" s="113"/>
      <c r="N135" s="113"/>
      <c r="O135" s="113"/>
      <c r="P135" s="113"/>
      <c r="Q135" s="126"/>
      <c r="R135" s="126"/>
    </row>
    <row r="136" ht="15.75" customHeight="1">
      <c r="B136" s="126"/>
      <c r="E136" s="126"/>
      <c r="G136" s="162"/>
      <c r="H136" s="162"/>
      <c r="I136" s="113"/>
      <c r="J136" s="113"/>
      <c r="K136" s="113"/>
      <c r="L136" s="113"/>
      <c r="M136" s="113"/>
      <c r="N136" s="113"/>
      <c r="O136" s="113"/>
      <c r="P136" s="113"/>
      <c r="Q136" s="126"/>
      <c r="R136" s="126"/>
    </row>
    <row r="137" ht="15.75" customHeight="1">
      <c r="B137" s="126"/>
      <c r="E137" s="126"/>
      <c r="G137" s="162"/>
      <c r="H137" s="162"/>
      <c r="I137" s="113"/>
      <c r="J137" s="113"/>
      <c r="K137" s="113"/>
      <c r="L137" s="113"/>
      <c r="M137" s="113"/>
      <c r="N137" s="113"/>
      <c r="O137" s="113"/>
      <c r="P137" s="113"/>
      <c r="Q137" s="126"/>
      <c r="R137" s="126"/>
    </row>
    <row r="138" ht="15.75" customHeight="1">
      <c r="B138" s="126"/>
      <c r="E138" s="126"/>
      <c r="G138" s="162"/>
      <c r="H138" s="162"/>
      <c r="I138" s="113"/>
      <c r="J138" s="113"/>
      <c r="K138" s="113"/>
      <c r="L138" s="113"/>
      <c r="M138" s="113"/>
      <c r="N138" s="113"/>
      <c r="O138" s="113"/>
      <c r="P138" s="113"/>
      <c r="Q138" s="126"/>
      <c r="R138" s="126"/>
    </row>
    <row r="139" ht="15.75" customHeight="1">
      <c r="B139" s="126"/>
      <c r="E139" s="126"/>
      <c r="G139" s="162"/>
      <c r="H139" s="162"/>
      <c r="I139" s="113"/>
      <c r="J139" s="113"/>
      <c r="K139" s="113"/>
      <c r="L139" s="113"/>
      <c r="M139" s="113"/>
      <c r="N139" s="113"/>
      <c r="O139" s="113"/>
      <c r="P139" s="113"/>
      <c r="Q139" s="126"/>
      <c r="R139" s="126"/>
    </row>
    <row r="140" ht="15.75" customHeight="1">
      <c r="B140" s="126"/>
      <c r="E140" s="126"/>
      <c r="G140" s="162"/>
      <c r="H140" s="162"/>
      <c r="I140" s="113"/>
      <c r="J140" s="113"/>
      <c r="K140" s="113"/>
      <c r="L140" s="113"/>
      <c r="M140" s="113"/>
      <c r="N140" s="113"/>
      <c r="O140" s="113"/>
      <c r="P140" s="113"/>
      <c r="Q140" s="126"/>
      <c r="R140" s="126"/>
    </row>
    <row r="141" ht="15.75" customHeight="1">
      <c r="B141" s="126"/>
      <c r="E141" s="126"/>
      <c r="G141" s="162"/>
      <c r="H141" s="162"/>
      <c r="I141" s="113"/>
      <c r="J141" s="113"/>
      <c r="K141" s="113"/>
      <c r="L141" s="113"/>
      <c r="M141" s="113"/>
      <c r="N141" s="113"/>
      <c r="O141" s="113"/>
      <c r="P141" s="113"/>
      <c r="Q141" s="126"/>
      <c r="R141" s="126"/>
    </row>
    <row r="142" ht="15.75" customHeight="1">
      <c r="B142" s="126"/>
      <c r="E142" s="126"/>
      <c r="G142" s="162"/>
      <c r="H142" s="162"/>
      <c r="I142" s="113"/>
      <c r="J142" s="113"/>
      <c r="K142" s="113"/>
      <c r="L142" s="113"/>
      <c r="M142" s="113"/>
      <c r="N142" s="113"/>
      <c r="O142" s="113"/>
      <c r="P142" s="113"/>
      <c r="Q142" s="126"/>
      <c r="R142" s="126"/>
    </row>
    <row r="143" ht="15.75" customHeight="1">
      <c r="B143" s="126"/>
      <c r="E143" s="126"/>
      <c r="G143" s="162"/>
      <c r="H143" s="162"/>
      <c r="I143" s="113"/>
      <c r="J143" s="113"/>
      <c r="K143" s="113"/>
      <c r="L143" s="113"/>
      <c r="M143" s="113"/>
      <c r="N143" s="113"/>
      <c r="O143" s="113"/>
      <c r="P143" s="113"/>
      <c r="Q143" s="126"/>
      <c r="R143" s="126"/>
    </row>
    <row r="144" ht="15.75" customHeight="1">
      <c r="B144" s="126"/>
      <c r="E144" s="126"/>
      <c r="G144" s="162"/>
      <c r="H144" s="162"/>
      <c r="I144" s="113"/>
      <c r="J144" s="113"/>
      <c r="K144" s="113"/>
      <c r="L144" s="113"/>
      <c r="M144" s="113"/>
      <c r="N144" s="113"/>
      <c r="O144" s="113"/>
      <c r="P144" s="113"/>
      <c r="Q144" s="126"/>
      <c r="R144" s="126"/>
    </row>
    <row r="145" ht="15.75" customHeight="1">
      <c r="B145" s="126"/>
      <c r="E145" s="126"/>
      <c r="G145" s="162"/>
      <c r="H145" s="162"/>
      <c r="I145" s="113"/>
      <c r="J145" s="113"/>
      <c r="K145" s="113"/>
      <c r="L145" s="113"/>
      <c r="M145" s="113"/>
      <c r="N145" s="113"/>
      <c r="O145" s="113"/>
      <c r="P145" s="113"/>
      <c r="Q145" s="126"/>
      <c r="R145" s="126"/>
    </row>
    <row r="146" ht="15.75" customHeight="1">
      <c r="B146" s="126"/>
      <c r="E146" s="126"/>
      <c r="G146" s="162"/>
      <c r="H146" s="162"/>
      <c r="I146" s="113"/>
      <c r="J146" s="113"/>
      <c r="K146" s="113"/>
      <c r="L146" s="113"/>
      <c r="M146" s="113"/>
      <c r="N146" s="113"/>
      <c r="O146" s="113"/>
      <c r="P146" s="113"/>
      <c r="Q146" s="126"/>
      <c r="R146" s="126"/>
    </row>
    <row r="147" ht="15.75" customHeight="1">
      <c r="B147" s="126"/>
      <c r="E147" s="126"/>
      <c r="G147" s="162"/>
      <c r="H147" s="162"/>
      <c r="I147" s="113"/>
      <c r="J147" s="113"/>
      <c r="K147" s="113"/>
      <c r="L147" s="113"/>
      <c r="M147" s="113"/>
      <c r="N147" s="113"/>
      <c r="O147" s="113"/>
      <c r="P147" s="113"/>
      <c r="Q147" s="126"/>
      <c r="R147" s="126"/>
    </row>
    <row r="148" ht="15.75" customHeight="1">
      <c r="B148" s="126"/>
      <c r="E148" s="126"/>
      <c r="G148" s="162"/>
      <c r="H148" s="162"/>
      <c r="I148" s="113"/>
      <c r="J148" s="113"/>
      <c r="K148" s="113"/>
      <c r="L148" s="113"/>
      <c r="M148" s="113"/>
      <c r="N148" s="113"/>
      <c r="O148" s="113"/>
      <c r="P148" s="113"/>
      <c r="Q148" s="126"/>
      <c r="R148" s="126"/>
    </row>
    <row r="149" ht="15.75" customHeight="1">
      <c r="B149" s="126"/>
      <c r="E149" s="126"/>
      <c r="G149" s="162"/>
      <c r="H149" s="162"/>
      <c r="I149" s="113"/>
      <c r="J149" s="113"/>
      <c r="K149" s="113"/>
      <c r="L149" s="113"/>
      <c r="M149" s="113"/>
      <c r="N149" s="113"/>
      <c r="O149" s="113"/>
      <c r="P149" s="113"/>
      <c r="Q149" s="126"/>
      <c r="R149" s="126"/>
    </row>
    <row r="150" ht="15.75" customHeight="1">
      <c r="B150" s="126"/>
      <c r="E150" s="126"/>
      <c r="G150" s="162"/>
      <c r="H150" s="162"/>
      <c r="I150" s="113"/>
      <c r="J150" s="113"/>
      <c r="K150" s="113"/>
      <c r="L150" s="113"/>
      <c r="M150" s="113"/>
      <c r="N150" s="113"/>
      <c r="O150" s="113"/>
      <c r="P150" s="113"/>
      <c r="Q150" s="126"/>
      <c r="R150" s="126"/>
    </row>
    <row r="151" ht="15.75" customHeight="1">
      <c r="B151" s="126"/>
      <c r="E151" s="126"/>
      <c r="G151" s="162"/>
      <c r="H151" s="162"/>
      <c r="I151" s="113"/>
      <c r="J151" s="113"/>
      <c r="K151" s="113"/>
      <c r="L151" s="113"/>
      <c r="M151" s="113"/>
      <c r="N151" s="113"/>
      <c r="O151" s="113"/>
      <c r="P151" s="113"/>
      <c r="Q151" s="126"/>
      <c r="R151" s="126"/>
    </row>
    <row r="152" ht="15.75" customHeight="1">
      <c r="B152" s="126"/>
      <c r="E152" s="126"/>
      <c r="G152" s="162"/>
      <c r="H152" s="162"/>
      <c r="I152" s="113"/>
      <c r="J152" s="113"/>
      <c r="K152" s="113"/>
      <c r="L152" s="113"/>
      <c r="M152" s="113"/>
      <c r="N152" s="113"/>
      <c r="O152" s="113"/>
      <c r="P152" s="113"/>
      <c r="Q152" s="126"/>
      <c r="R152" s="126"/>
    </row>
    <row r="153" ht="15.75" customHeight="1">
      <c r="B153" s="126"/>
      <c r="E153" s="126"/>
      <c r="G153" s="162"/>
      <c r="H153" s="162"/>
      <c r="I153" s="113"/>
      <c r="J153" s="113"/>
      <c r="K153" s="113"/>
      <c r="L153" s="113"/>
      <c r="M153" s="113"/>
      <c r="N153" s="113"/>
      <c r="O153" s="113"/>
      <c r="P153" s="113"/>
      <c r="Q153" s="126"/>
      <c r="R153" s="126"/>
    </row>
    <row r="154" ht="15.75" customHeight="1">
      <c r="B154" s="126"/>
      <c r="E154" s="126"/>
      <c r="G154" s="162"/>
      <c r="H154" s="162"/>
      <c r="I154" s="113"/>
      <c r="J154" s="113"/>
      <c r="K154" s="113"/>
      <c r="L154" s="113"/>
      <c r="M154" s="113"/>
      <c r="N154" s="113"/>
      <c r="O154" s="113"/>
      <c r="P154" s="113"/>
      <c r="Q154" s="126"/>
      <c r="R154" s="126"/>
    </row>
    <row r="155" ht="15.75" customHeight="1">
      <c r="B155" s="126"/>
      <c r="E155" s="126"/>
      <c r="G155" s="162"/>
      <c r="H155" s="162"/>
      <c r="I155" s="113"/>
      <c r="J155" s="113"/>
      <c r="K155" s="113"/>
      <c r="L155" s="113"/>
      <c r="M155" s="113"/>
      <c r="N155" s="113"/>
      <c r="O155" s="113"/>
      <c r="P155" s="113"/>
      <c r="Q155" s="126"/>
      <c r="R155" s="126"/>
    </row>
    <row r="156" ht="15.75" customHeight="1">
      <c r="B156" s="126"/>
      <c r="E156" s="126"/>
      <c r="G156" s="162"/>
      <c r="H156" s="162"/>
      <c r="I156" s="113"/>
      <c r="J156" s="113"/>
      <c r="K156" s="113"/>
      <c r="L156" s="113"/>
      <c r="M156" s="113"/>
      <c r="N156" s="113"/>
      <c r="O156" s="113"/>
      <c r="P156" s="113"/>
      <c r="Q156" s="126"/>
      <c r="R156" s="126"/>
    </row>
    <row r="157" ht="15.75" customHeight="1">
      <c r="B157" s="126"/>
      <c r="E157" s="126"/>
      <c r="G157" s="162"/>
      <c r="H157" s="162"/>
      <c r="I157" s="113"/>
      <c r="J157" s="113"/>
      <c r="K157" s="113"/>
      <c r="L157" s="113"/>
      <c r="M157" s="113"/>
      <c r="N157" s="113"/>
      <c r="O157" s="113"/>
      <c r="P157" s="113"/>
      <c r="Q157" s="126"/>
      <c r="R157" s="126"/>
    </row>
    <row r="158" ht="15.75" customHeight="1">
      <c r="B158" s="126"/>
      <c r="E158" s="126"/>
      <c r="G158" s="162"/>
      <c r="H158" s="162"/>
      <c r="I158" s="113"/>
      <c r="J158" s="113"/>
      <c r="K158" s="113"/>
      <c r="L158" s="113"/>
      <c r="M158" s="113"/>
      <c r="N158" s="113"/>
      <c r="O158" s="113"/>
      <c r="P158" s="113"/>
      <c r="Q158" s="126"/>
      <c r="R158" s="126"/>
    </row>
    <row r="159" ht="15.75" customHeight="1">
      <c r="B159" s="126"/>
      <c r="E159" s="126"/>
      <c r="G159" s="162"/>
      <c r="H159" s="162"/>
      <c r="I159" s="113"/>
      <c r="J159" s="113"/>
      <c r="K159" s="113"/>
      <c r="L159" s="113"/>
      <c r="M159" s="113"/>
      <c r="N159" s="113"/>
      <c r="O159" s="113"/>
      <c r="P159" s="113"/>
      <c r="Q159" s="126"/>
      <c r="R159" s="126"/>
    </row>
    <row r="160" ht="15.75" customHeight="1">
      <c r="B160" s="126"/>
      <c r="E160" s="126"/>
      <c r="G160" s="162"/>
      <c r="H160" s="162"/>
      <c r="I160" s="113"/>
      <c r="J160" s="113"/>
      <c r="K160" s="113"/>
      <c r="L160" s="113"/>
      <c r="M160" s="113"/>
      <c r="N160" s="113"/>
      <c r="O160" s="113"/>
      <c r="P160" s="113"/>
      <c r="Q160" s="126"/>
      <c r="R160" s="126"/>
    </row>
    <row r="161" ht="15.75" customHeight="1">
      <c r="B161" s="126"/>
      <c r="E161" s="126"/>
      <c r="G161" s="162"/>
      <c r="H161" s="162"/>
      <c r="I161" s="113"/>
      <c r="J161" s="113"/>
      <c r="K161" s="113"/>
      <c r="L161" s="113"/>
      <c r="M161" s="113"/>
      <c r="N161" s="113"/>
      <c r="O161" s="113"/>
      <c r="P161" s="113"/>
      <c r="Q161" s="126"/>
      <c r="R161" s="126"/>
    </row>
    <row r="162" ht="15.75" customHeight="1">
      <c r="B162" s="126"/>
      <c r="E162" s="126"/>
      <c r="G162" s="162"/>
      <c r="H162" s="162"/>
      <c r="I162" s="113"/>
      <c r="J162" s="113"/>
      <c r="K162" s="113"/>
      <c r="L162" s="113"/>
      <c r="M162" s="113"/>
      <c r="N162" s="113"/>
      <c r="O162" s="113"/>
      <c r="P162" s="113"/>
      <c r="Q162" s="126"/>
      <c r="R162" s="126"/>
    </row>
    <row r="163" ht="15.75" customHeight="1">
      <c r="B163" s="126"/>
      <c r="E163" s="126"/>
      <c r="G163" s="162"/>
      <c r="H163" s="162"/>
      <c r="I163" s="113"/>
      <c r="J163" s="113"/>
      <c r="K163" s="113"/>
      <c r="L163" s="113"/>
      <c r="M163" s="113"/>
      <c r="N163" s="113"/>
      <c r="O163" s="113"/>
      <c r="P163" s="113"/>
      <c r="Q163" s="126"/>
      <c r="R163" s="126"/>
    </row>
    <row r="164" ht="15.75" customHeight="1">
      <c r="B164" s="126"/>
      <c r="E164" s="126"/>
      <c r="G164" s="162"/>
      <c r="H164" s="162"/>
      <c r="I164" s="113"/>
      <c r="J164" s="113"/>
      <c r="K164" s="113"/>
      <c r="L164" s="113"/>
      <c r="M164" s="113"/>
      <c r="N164" s="113"/>
      <c r="O164" s="113"/>
      <c r="P164" s="113"/>
      <c r="Q164" s="126"/>
      <c r="R164" s="126"/>
    </row>
    <row r="165" ht="15.75" customHeight="1">
      <c r="B165" s="126"/>
      <c r="E165" s="126"/>
      <c r="G165" s="162"/>
      <c r="H165" s="162"/>
      <c r="I165" s="113"/>
      <c r="J165" s="113"/>
      <c r="K165" s="113"/>
      <c r="L165" s="113"/>
      <c r="M165" s="113"/>
      <c r="N165" s="113"/>
      <c r="O165" s="113"/>
      <c r="P165" s="113"/>
      <c r="Q165" s="126"/>
      <c r="R165" s="126"/>
    </row>
    <row r="166" ht="15.75" customHeight="1">
      <c r="B166" s="126"/>
      <c r="E166" s="126"/>
      <c r="G166" s="162"/>
      <c r="H166" s="162"/>
      <c r="I166" s="113"/>
      <c r="J166" s="113"/>
      <c r="K166" s="113"/>
      <c r="L166" s="113"/>
      <c r="M166" s="113"/>
      <c r="N166" s="113"/>
      <c r="O166" s="113"/>
      <c r="P166" s="113"/>
      <c r="Q166" s="126"/>
      <c r="R166" s="126"/>
    </row>
    <row r="167" ht="15.75" customHeight="1">
      <c r="B167" s="126"/>
      <c r="E167" s="126"/>
      <c r="G167" s="162"/>
      <c r="H167" s="162"/>
      <c r="I167" s="113"/>
      <c r="J167" s="113"/>
      <c r="K167" s="113"/>
      <c r="L167" s="113"/>
      <c r="M167" s="113"/>
      <c r="N167" s="113"/>
      <c r="O167" s="113"/>
      <c r="P167" s="113"/>
      <c r="Q167" s="126"/>
      <c r="R167" s="126"/>
    </row>
    <row r="168" ht="15.75" customHeight="1">
      <c r="B168" s="126"/>
      <c r="E168" s="126"/>
      <c r="G168" s="162"/>
      <c r="H168" s="162"/>
      <c r="I168" s="113"/>
      <c r="J168" s="113"/>
      <c r="K168" s="113"/>
      <c r="L168" s="113"/>
      <c r="M168" s="113"/>
      <c r="N168" s="113"/>
      <c r="O168" s="113"/>
      <c r="P168" s="113"/>
      <c r="Q168" s="126"/>
      <c r="R168" s="126"/>
    </row>
    <row r="169" ht="15.75" customHeight="1">
      <c r="B169" s="126"/>
      <c r="E169" s="126"/>
      <c r="G169" s="162"/>
      <c r="H169" s="162"/>
      <c r="I169" s="113"/>
      <c r="J169" s="113"/>
      <c r="K169" s="113"/>
      <c r="L169" s="113"/>
      <c r="M169" s="113"/>
      <c r="N169" s="113"/>
      <c r="O169" s="113"/>
      <c r="P169" s="113"/>
      <c r="Q169" s="126"/>
      <c r="R169" s="126"/>
    </row>
    <row r="170" ht="15.75" customHeight="1">
      <c r="B170" s="126"/>
      <c r="E170" s="126"/>
      <c r="G170" s="162"/>
      <c r="H170" s="162"/>
      <c r="I170" s="113"/>
      <c r="J170" s="113"/>
      <c r="K170" s="113"/>
      <c r="L170" s="113"/>
      <c r="M170" s="113"/>
      <c r="N170" s="113"/>
      <c r="O170" s="113"/>
      <c r="P170" s="113"/>
      <c r="Q170" s="126"/>
      <c r="R170" s="126"/>
    </row>
    <row r="171" ht="15.75" customHeight="1">
      <c r="B171" s="126"/>
      <c r="E171" s="126"/>
      <c r="G171" s="162"/>
      <c r="H171" s="162"/>
      <c r="I171" s="113"/>
      <c r="J171" s="113"/>
      <c r="K171" s="113"/>
      <c r="L171" s="113"/>
      <c r="M171" s="113"/>
      <c r="N171" s="113"/>
      <c r="O171" s="113"/>
      <c r="P171" s="113"/>
      <c r="Q171" s="126"/>
      <c r="R171" s="126"/>
    </row>
    <row r="172" ht="15.75" customHeight="1">
      <c r="B172" s="126"/>
      <c r="E172" s="126"/>
      <c r="G172" s="162"/>
      <c r="H172" s="162"/>
      <c r="I172" s="113"/>
      <c r="J172" s="113"/>
      <c r="K172" s="113"/>
      <c r="L172" s="113"/>
      <c r="M172" s="113"/>
      <c r="N172" s="113"/>
      <c r="O172" s="113"/>
      <c r="P172" s="113"/>
      <c r="Q172" s="126"/>
      <c r="R172" s="126"/>
    </row>
    <row r="173" ht="15.75" customHeight="1">
      <c r="B173" s="126"/>
      <c r="E173" s="126"/>
      <c r="G173" s="162"/>
      <c r="H173" s="162"/>
      <c r="I173" s="113"/>
      <c r="J173" s="113"/>
      <c r="K173" s="113"/>
      <c r="L173" s="113"/>
      <c r="M173" s="113"/>
      <c r="N173" s="113"/>
      <c r="O173" s="113"/>
      <c r="P173" s="113"/>
      <c r="Q173" s="126"/>
      <c r="R173" s="126"/>
    </row>
    <row r="174" ht="15.75" customHeight="1">
      <c r="B174" s="126"/>
      <c r="E174" s="126"/>
      <c r="G174" s="162"/>
      <c r="H174" s="162"/>
      <c r="I174" s="113"/>
      <c r="J174" s="113"/>
      <c r="K174" s="113"/>
      <c r="L174" s="113"/>
      <c r="M174" s="113"/>
      <c r="N174" s="113"/>
      <c r="O174" s="113"/>
      <c r="P174" s="113"/>
      <c r="Q174" s="126"/>
      <c r="R174" s="126"/>
    </row>
    <row r="175" ht="15.75" customHeight="1">
      <c r="B175" s="126"/>
      <c r="E175" s="126"/>
      <c r="G175" s="162"/>
      <c r="H175" s="162"/>
      <c r="I175" s="113"/>
      <c r="J175" s="113"/>
      <c r="K175" s="113"/>
      <c r="L175" s="113"/>
      <c r="M175" s="113"/>
      <c r="N175" s="113"/>
      <c r="O175" s="113"/>
      <c r="P175" s="113"/>
      <c r="Q175" s="126"/>
      <c r="R175" s="126"/>
    </row>
    <row r="176" ht="15.75" customHeight="1">
      <c r="B176" s="126"/>
      <c r="E176" s="126"/>
      <c r="G176" s="162"/>
      <c r="H176" s="162"/>
      <c r="I176" s="113"/>
      <c r="J176" s="113"/>
      <c r="K176" s="113"/>
      <c r="L176" s="113"/>
      <c r="M176" s="113"/>
      <c r="N176" s="113"/>
      <c r="O176" s="113"/>
      <c r="P176" s="113"/>
      <c r="Q176" s="126"/>
      <c r="R176" s="126"/>
    </row>
    <row r="177" ht="15.75" customHeight="1">
      <c r="B177" s="126"/>
      <c r="E177" s="126"/>
      <c r="G177" s="162"/>
      <c r="H177" s="162"/>
      <c r="I177" s="113"/>
      <c r="J177" s="113"/>
      <c r="K177" s="113"/>
      <c r="L177" s="113"/>
      <c r="M177" s="113"/>
      <c r="N177" s="113"/>
      <c r="O177" s="113"/>
      <c r="P177" s="113"/>
      <c r="Q177" s="126"/>
      <c r="R177" s="126"/>
    </row>
    <row r="178" ht="15.75" customHeight="1">
      <c r="B178" s="126"/>
      <c r="E178" s="126"/>
      <c r="G178" s="162"/>
      <c r="H178" s="162"/>
      <c r="I178" s="113"/>
      <c r="J178" s="113"/>
      <c r="K178" s="113"/>
      <c r="L178" s="113"/>
      <c r="M178" s="113"/>
      <c r="N178" s="113"/>
      <c r="O178" s="113"/>
      <c r="P178" s="113"/>
      <c r="Q178" s="126"/>
      <c r="R178" s="126"/>
    </row>
    <row r="179" ht="15.75" customHeight="1">
      <c r="B179" s="126"/>
      <c r="E179" s="126"/>
      <c r="G179" s="162"/>
      <c r="H179" s="162"/>
      <c r="I179" s="113"/>
      <c r="J179" s="113"/>
      <c r="K179" s="113"/>
      <c r="L179" s="113"/>
      <c r="M179" s="113"/>
      <c r="N179" s="113"/>
      <c r="O179" s="113"/>
      <c r="P179" s="113"/>
      <c r="Q179" s="126"/>
      <c r="R179" s="126"/>
    </row>
    <row r="180" ht="15.75" customHeight="1">
      <c r="B180" s="126"/>
      <c r="E180" s="126"/>
      <c r="G180" s="162"/>
      <c r="H180" s="162"/>
      <c r="I180" s="113"/>
      <c r="J180" s="113"/>
      <c r="K180" s="113"/>
      <c r="L180" s="113"/>
      <c r="M180" s="113"/>
      <c r="N180" s="113"/>
      <c r="O180" s="113"/>
      <c r="P180" s="113"/>
      <c r="Q180" s="126"/>
      <c r="R180" s="126"/>
    </row>
    <row r="181" ht="15.75" customHeight="1">
      <c r="B181" s="126"/>
      <c r="E181" s="126"/>
      <c r="G181" s="162"/>
      <c r="H181" s="162"/>
      <c r="I181" s="113"/>
      <c r="J181" s="113"/>
      <c r="K181" s="113"/>
      <c r="L181" s="113"/>
      <c r="M181" s="113"/>
      <c r="N181" s="113"/>
      <c r="O181" s="113"/>
      <c r="P181" s="113"/>
      <c r="Q181" s="126"/>
      <c r="R181" s="126"/>
    </row>
    <row r="182" ht="15.75" customHeight="1">
      <c r="B182" s="126"/>
      <c r="E182" s="126"/>
      <c r="G182" s="162"/>
      <c r="H182" s="162"/>
      <c r="I182" s="113"/>
      <c r="J182" s="113"/>
      <c r="K182" s="113"/>
      <c r="L182" s="113"/>
      <c r="M182" s="113"/>
      <c r="N182" s="113"/>
      <c r="O182" s="113"/>
      <c r="P182" s="113"/>
      <c r="Q182" s="126"/>
      <c r="R182" s="126"/>
    </row>
    <row r="183" ht="15.75" customHeight="1">
      <c r="B183" s="126"/>
      <c r="E183" s="126"/>
      <c r="G183" s="162"/>
      <c r="H183" s="162"/>
      <c r="I183" s="113"/>
      <c r="J183" s="113"/>
      <c r="K183" s="113"/>
      <c r="L183" s="113"/>
      <c r="M183" s="113"/>
      <c r="N183" s="113"/>
      <c r="O183" s="113"/>
      <c r="P183" s="113"/>
      <c r="Q183" s="126"/>
      <c r="R183" s="126"/>
    </row>
    <row r="184" ht="15.75" customHeight="1">
      <c r="B184" s="126"/>
      <c r="E184" s="126"/>
      <c r="G184" s="162"/>
      <c r="H184" s="162"/>
      <c r="I184" s="113"/>
      <c r="J184" s="113"/>
      <c r="K184" s="113"/>
      <c r="L184" s="113"/>
      <c r="M184" s="113"/>
      <c r="N184" s="113"/>
      <c r="O184" s="113"/>
      <c r="P184" s="113"/>
      <c r="Q184" s="126"/>
      <c r="R184" s="126"/>
    </row>
    <row r="185" ht="15.75" customHeight="1">
      <c r="B185" s="126"/>
      <c r="E185" s="126"/>
      <c r="G185" s="162"/>
      <c r="H185" s="162"/>
      <c r="I185" s="113"/>
      <c r="J185" s="113"/>
      <c r="K185" s="113"/>
      <c r="L185" s="113"/>
      <c r="M185" s="113"/>
      <c r="N185" s="113"/>
      <c r="O185" s="113"/>
      <c r="P185" s="113"/>
      <c r="Q185" s="126"/>
      <c r="R185" s="126"/>
    </row>
    <row r="186" ht="15.75" customHeight="1">
      <c r="B186" s="126"/>
      <c r="E186" s="126"/>
      <c r="G186" s="162"/>
      <c r="H186" s="162"/>
      <c r="I186" s="113"/>
      <c r="J186" s="113"/>
      <c r="K186" s="113"/>
      <c r="L186" s="113"/>
      <c r="M186" s="113"/>
      <c r="N186" s="113"/>
      <c r="O186" s="113"/>
      <c r="P186" s="113"/>
      <c r="Q186" s="126"/>
      <c r="R186" s="126"/>
    </row>
    <row r="187" ht="15.75" customHeight="1">
      <c r="B187" s="126"/>
      <c r="E187" s="126"/>
      <c r="G187" s="162"/>
      <c r="H187" s="162"/>
      <c r="I187" s="113"/>
      <c r="J187" s="113"/>
      <c r="K187" s="113"/>
      <c r="L187" s="113"/>
      <c r="M187" s="113"/>
      <c r="N187" s="113"/>
      <c r="O187" s="113"/>
      <c r="P187" s="113"/>
      <c r="Q187" s="126"/>
      <c r="R187" s="126"/>
    </row>
    <row r="188" ht="15.75" customHeight="1">
      <c r="B188" s="126"/>
      <c r="E188" s="126"/>
      <c r="G188" s="162"/>
      <c r="H188" s="162"/>
      <c r="I188" s="113"/>
      <c r="J188" s="113"/>
      <c r="K188" s="113"/>
      <c r="L188" s="113"/>
      <c r="M188" s="113"/>
      <c r="N188" s="113"/>
      <c r="O188" s="113"/>
      <c r="P188" s="113"/>
      <c r="Q188" s="126"/>
      <c r="R188" s="126"/>
    </row>
    <row r="189" ht="15.75" customHeight="1">
      <c r="B189" s="126"/>
      <c r="E189" s="126"/>
      <c r="G189" s="162"/>
      <c r="H189" s="162"/>
      <c r="I189" s="113"/>
      <c r="J189" s="113"/>
      <c r="K189" s="113"/>
      <c r="L189" s="113"/>
      <c r="M189" s="113"/>
      <c r="N189" s="113"/>
      <c r="O189" s="113"/>
      <c r="P189" s="113"/>
      <c r="Q189" s="126"/>
      <c r="R189" s="126"/>
    </row>
    <row r="190" ht="15.75" customHeight="1">
      <c r="B190" s="126"/>
      <c r="E190" s="126"/>
      <c r="G190" s="162"/>
      <c r="H190" s="162"/>
      <c r="I190" s="113"/>
      <c r="J190" s="113"/>
      <c r="K190" s="113"/>
      <c r="L190" s="113"/>
      <c r="M190" s="113"/>
      <c r="N190" s="113"/>
      <c r="O190" s="113"/>
      <c r="P190" s="113"/>
      <c r="Q190" s="126"/>
      <c r="R190" s="126"/>
    </row>
    <row r="191" ht="15.75" customHeight="1">
      <c r="B191" s="126"/>
      <c r="E191" s="126"/>
      <c r="G191" s="162"/>
      <c r="H191" s="162"/>
      <c r="I191" s="113"/>
      <c r="J191" s="113"/>
      <c r="K191" s="113"/>
      <c r="L191" s="113"/>
      <c r="M191" s="113"/>
      <c r="N191" s="113"/>
      <c r="O191" s="113"/>
      <c r="P191" s="113"/>
      <c r="Q191" s="126"/>
      <c r="R191" s="126"/>
    </row>
    <row r="192" ht="15.75" customHeight="1">
      <c r="B192" s="126"/>
      <c r="E192" s="126"/>
      <c r="G192" s="162"/>
      <c r="H192" s="162"/>
      <c r="I192" s="113"/>
      <c r="J192" s="113"/>
      <c r="K192" s="113"/>
      <c r="L192" s="113"/>
      <c r="M192" s="113"/>
      <c r="N192" s="113"/>
      <c r="O192" s="113"/>
      <c r="P192" s="113"/>
      <c r="Q192" s="126"/>
      <c r="R192" s="126"/>
    </row>
    <row r="193" ht="15.75" customHeight="1">
      <c r="B193" s="126"/>
      <c r="E193" s="126"/>
      <c r="G193" s="162"/>
      <c r="H193" s="162"/>
      <c r="I193" s="113"/>
      <c r="J193" s="113"/>
      <c r="K193" s="113"/>
      <c r="L193" s="113"/>
      <c r="M193" s="113"/>
      <c r="N193" s="113"/>
      <c r="O193" s="113"/>
      <c r="P193" s="113"/>
      <c r="Q193" s="126"/>
      <c r="R193" s="126"/>
    </row>
    <row r="194" ht="15.75" customHeight="1">
      <c r="B194" s="126"/>
      <c r="E194" s="126"/>
      <c r="G194" s="162"/>
      <c r="H194" s="162"/>
      <c r="I194" s="113"/>
      <c r="J194" s="113"/>
      <c r="K194" s="113"/>
      <c r="L194" s="113"/>
      <c r="M194" s="113"/>
      <c r="N194" s="113"/>
      <c r="O194" s="113"/>
      <c r="P194" s="113"/>
      <c r="Q194" s="126"/>
      <c r="R194" s="126"/>
    </row>
    <row r="195" ht="15.75" customHeight="1">
      <c r="B195" s="126"/>
      <c r="E195" s="126"/>
      <c r="G195" s="162"/>
      <c r="H195" s="162"/>
      <c r="I195" s="113"/>
      <c r="J195" s="113"/>
      <c r="K195" s="113"/>
      <c r="L195" s="113"/>
      <c r="M195" s="113"/>
      <c r="N195" s="113"/>
      <c r="O195" s="113"/>
      <c r="P195" s="113"/>
      <c r="Q195" s="126"/>
      <c r="R195" s="126"/>
    </row>
    <row r="196" ht="15.75" customHeight="1">
      <c r="B196" s="126"/>
      <c r="E196" s="126"/>
      <c r="G196" s="162"/>
      <c r="H196" s="162"/>
      <c r="I196" s="113"/>
      <c r="J196" s="113"/>
      <c r="K196" s="113"/>
      <c r="L196" s="113"/>
      <c r="M196" s="113"/>
      <c r="N196" s="113"/>
      <c r="O196" s="113"/>
      <c r="P196" s="113"/>
      <c r="Q196" s="126"/>
      <c r="R196" s="126"/>
    </row>
    <row r="197" ht="15.75" customHeight="1">
      <c r="B197" s="126"/>
      <c r="E197" s="126"/>
      <c r="G197" s="162"/>
      <c r="H197" s="162"/>
      <c r="I197" s="113"/>
      <c r="J197" s="113"/>
      <c r="K197" s="113"/>
      <c r="L197" s="113"/>
      <c r="M197" s="113"/>
      <c r="N197" s="113"/>
      <c r="O197" s="113"/>
      <c r="P197" s="113"/>
      <c r="Q197" s="126"/>
      <c r="R197" s="126"/>
    </row>
    <row r="198" ht="15.75" customHeight="1">
      <c r="B198" s="126"/>
      <c r="E198" s="126"/>
      <c r="G198" s="162"/>
      <c r="H198" s="162"/>
      <c r="I198" s="113"/>
      <c r="J198" s="113"/>
      <c r="K198" s="113"/>
      <c r="L198" s="113"/>
      <c r="M198" s="113"/>
      <c r="N198" s="113"/>
      <c r="O198" s="113"/>
      <c r="P198" s="113"/>
      <c r="Q198" s="126"/>
      <c r="R198" s="126"/>
    </row>
    <row r="199" ht="15.75" customHeight="1">
      <c r="B199" s="126"/>
      <c r="E199" s="126"/>
      <c r="G199" s="162"/>
      <c r="H199" s="162"/>
      <c r="I199" s="113"/>
      <c r="J199" s="113"/>
      <c r="K199" s="113"/>
      <c r="L199" s="113"/>
      <c r="M199" s="113"/>
      <c r="N199" s="113"/>
      <c r="O199" s="113"/>
      <c r="P199" s="113"/>
      <c r="Q199" s="126"/>
      <c r="R199" s="126"/>
    </row>
    <row r="200" ht="15.75" customHeight="1">
      <c r="B200" s="126"/>
      <c r="E200" s="126"/>
      <c r="G200" s="162"/>
      <c r="H200" s="162"/>
      <c r="I200" s="113"/>
      <c r="J200" s="113"/>
      <c r="K200" s="113"/>
      <c r="L200" s="113"/>
      <c r="M200" s="113"/>
      <c r="N200" s="113"/>
      <c r="O200" s="113"/>
      <c r="P200" s="113"/>
      <c r="Q200" s="126"/>
      <c r="R200" s="126"/>
    </row>
    <row r="201" ht="15.75" customHeight="1">
      <c r="B201" s="126"/>
      <c r="E201" s="126"/>
      <c r="G201" s="162"/>
      <c r="H201" s="162"/>
      <c r="I201" s="113"/>
      <c r="J201" s="113"/>
      <c r="K201" s="113"/>
      <c r="L201" s="113"/>
      <c r="M201" s="113"/>
      <c r="N201" s="113"/>
      <c r="O201" s="113"/>
      <c r="P201" s="113"/>
      <c r="Q201" s="126"/>
      <c r="R201" s="126"/>
    </row>
    <row r="202" ht="15.75" customHeight="1">
      <c r="B202" s="126"/>
      <c r="E202" s="126"/>
      <c r="G202" s="162"/>
      <c r="H202" s="162"/>
      <c r="I202" s="113"/>
      <c r="J202" s="113"/>
      <c r="K202" s="113"/>
      <c r="L202" s="113"/>
      <c r="M202" s="113"/>
      <c r="N202" s="113"/>
      <c r="O202" s="113"/>
      <c r="P202" s="113"/>
      <c r="Q202" s="126"/>
      <c r="R202" s="126"/>
    </row>
    <row r="203" ht="15.75" customHeight="1">
      <c r="B203" s="126"/>
      <c r="E203" s="126"/>
      <c r="G203" s="162"/>
      <c r="H203" s="162"/>
      <c r="I203" s="113"/>
      <c r="J203" s="113"/>
      <c r="K203" s="113"/>
      <c r="L203" s="113"/>
      <c r="M203" s="113"/>
      <c r="N203" s="113"/>
      <c r="O203" s="113"/>
      <c r="P203" s="113"/>
      <c r="Q203" s="126"/>
      <c r="R203" s="126"/>
    </row>
    <row r="204" ht="15.75" customHeight="1">
      <c r="B204" s="126"/>
      <c r="E204" s="126"/>
      <c r="G204" s="162"/>
      <c r="H204" s="162"/>
      <c r="I204" s="113"/>
      <c r="J204" s="113"/>
      <c r="K204" s="113"/>
      <c r="L204" s="113"/>
      <c r="M204" s="113"/>
      <c r="N204" s="113"/>
      <c r="O204" s="113"/>
      <c r="P204" s="113"/>
      <c r="Q204" s="126"/>
      <c r="R204" s="126"/>
    </row>
    <row r="205" ht="15.75" customHeight="1">
      <c r="B205" s="126"/>
      <c r="E205" s="126"/>
      <c r="G205" s="162"/>
      <c r="H205" s="162"/>
      <c r="I205" s="113"/>
      <c r="J205" s="113"/>
      <c r="K205" s="113"/>
      <c r="L205" s="113"/>
      <c r="M205" s="113"/>
      <c r="N205" s="113"/>
      <c r="O205" s="113"/>
      <c r="P205" s="113"/>
      <c r="Q205" s="126"/>
      <c r="R205" s="126"/>
    </row>
    <row r="206" ht="15.75" customHeight="1">
      <c r="B206" s="126"/>
      <c r="E206" s="126"/>
      <c r="G206" s="162"/>
      <c r="H206" s="162"/>
      <c r="I206" s="113"/>
      <c r="J206" s="113"/>
      <c r="K206" s="113"/>
      <c r="L206" s="113"/>
      <c r="M206" s="113"/>
      <c r="N206" s="113"/>
      <c r="O206" s="113"/>
      <c r="P206" s="113"/>
      <c r="Q206" s="126"/>
      <c r="R206" s="126"/>
    </row>
    <row r="207" ht="15.75" customHeight="1">
      <c r="B207" s="126"/>
      <c r="E207" s="126"/>
      <c r="G207" s="162"/>
      <c r="H207" s="162"/>
      <c r="I207" s="113"/>
      <c r="J207" s="113"/>
      <c r="K207" s="113"/>
      <c r="L207" s="113"/>
      <c r="M207" s="113"/>
      <c r="N207" s="113"/>
      <c r="O207" s="113"/>
      <c r="P207" s="113"/>
      <c r="Q207" s="126"/>
      <c r="R207" s="126"/>
    </row>
    <row r="208" ht="15.75" customHeight="1">
      <c r="B208" s="126"/>
      <c r="E208" s="126"/>
      <c r="G208" s="162"/>
      <c r="H208" s="162"/>
      <c r="I208" s="113"/>
      <c r="J208" s="113"/>
      <c r="K208" s="113"/>
      <c r="L208" s="113"/>
      <c r="M208" s="113"/>
      <c r="N208" s="113"/>
      <c r="O208" s="113"/>
      <c r="P208" s="113"/>
      <c r="Q208" s="126"/>
      <c r="R208" s="126"/>
    </row>
    <row r="209" ht="15.75" customHeight="1">
      <c r="B209" s="126"/>
      <c r="E209" s="126"/>
      <c r="G209" s="162"/>
      <c r="H209" s="162"/>
      <c r="I209" s="113"/>
      <c r="J209" s="113"/>
      <c r="K209" s="113"/>
      <c r="L209" s="113"/>
      <c r="M209" s="113"/>
      <c r="N209" s="113"/>
      <c r="O209" s="113"/>
      <c r="P209" s="113"/>
      <c r="Q209" s="126"/>
      <c r="R209" s="126"/>
    </row>
    <row r="210" ht="15.75" customHeight="1">
      <c r="B210" s="126"/>
      <c r="E210" s="126"/>
      <c r="G210" s="162"/>
      <c r="H210" s="162"/>
      <c r="I210" s="113"/>
      <c r="J210" s="113"/>
      <c r="K210" s="113"/>
      <c r="L210" s="113"/>
      <c r="M210" s="113"/>
      <c r="N210" s="113"/>
      <c r="O210" s="113"/>
      <c r="P210" s="113"/>
      <c r="Q210" s="126"/>
      <c r="R210" s="126"/>
    </row>
    <row r="211" ht="15.75" customHeight="1">
      <c r="B211" s="126"/>
      <c r="E211" s="126"/>
      <c r="G211" s="162"/>
      <c r="H211" s="162"/>
      <c r="I211" s="113"/>
      <c r="J211" s="113"/>
      <c r="K211" s="113"/>
      <c r="L211" s="113"/>
      <c r="M211" s="113"/>
      <c r="N211" s="113"/>
      <c r="O211" s="113"/>
      <c r="P211" s="113"/>
      <c r="Q211" s="126"/>
      <c r="R211" s="126"/>
    </row>
    <row r="212" ht="15.75" customHeight="1">
      <c r="B212" s="126"/>
      <c r="E212" s="126"/>
      <c r="G212" s="162"/>
      <c r="H212" s="162"/>
      <c r="I212" s="113"/>
      <c r="J212" s="113"/>
      <c r="K212" s="113"/>
      <c r="L212" s="113"/>
      <c r="M212" s="113"/>
      <c r="N212" s="113"/>
      <c r="O212" s="113"/>
      <c r="P212" s="113"/>
      <c r="Q212" s="126"/>
      <c r="R212" s="126"/>
    </row>
    <row r="213" ht="15.75" customHeight="1">
      <c r="B213" s="126"/>
      <c r="E213" s="126"/>
      <c r="G213" s="162"/>
      <c r="H213" s="162"/>
      <c r="I213" s="113"/>
      <c r="J213" s="113"/>
      <c r="K213" s="113"/>
      <c r="L213" s="113"/>
      <c r="M213" s="113"/>
      <c r="N213" s="113"/>
      <c r="O213" s="113"/>
      <c r="P213" s="113"/>
      <c r="Q213" s="126"/>
      <c r="R213" s="126"/>
    </row>
    <row r="214" ht="15.75" customHeight="1">
      <c r="B214" s="126"/>
      <c r="E214" s="126"/>
      <c r="G214" s="162"/>
      <c r="H214" s="162"/>
      <c r="I214" s="113"/>
      <c r="J214" s="113"/>
      <c r="K214" s="113"/>
      <c r="L214" s="113"/>
      <c r="M214" s="113"/>
      <c r="N214" s="113"/>
      <c r="O214" s="113"/>
      <c r="P214" s="113"/>
      <c r="Q214" s="126"/>
      <c r="R214" s="126"/>
    </row>
    <row r="215" ht="15.75" customHeight="1">
      <c r="B215" s="126"/>
      <c r="E215" s="126"/>
      <c r="G215" s="162"/>
      <c r="H215" s="162"/>
      <c r="I215" s="113"/>
      <c r="J215" s="113"/>
      <c r="K215" s="113"/>
      <c r="L215" s="113"/>
      <c r="M215" s="113"/>
      <c r="N215" s="113"/>
      <c r="O215" s="113"/>
      <c r="P215" s="113"/>
      <c r="Q215" s="126"/>
      <c r="R215" s="126"/>
    </row>
    <row r="216" ht="15.75" customHeight="1">
      <c r="B216" s="126"/>
      <c r="E216" s="126"/>
      <c r="G216" s="162"/>
      <c r="H216" s="162"/>
      <c r="I216" s="113"/>
      <c r="J216" s="113"/>
      <c r="K216" s="113"/>
      <c r="L216" s="113"/>
      <c r="M216" s="113"/>
      <c r="N216" s="113"/>
      <c r="O216" s="113"/>
      <c r="P216" s="113"/>
      <c r="Q216" s="126"/>
      <c r="R216" s="126"/>
    </row>
    <row r="217" ht="15.75" customHeight="1">
      <c r="B217" s="126"/>
      <c r="E217" s="126"/>
      <c r="G217" s="162"/>
      <c r="H217" s="162"/>
      <c r="I217" s="113"/>
      <c r="J217" s="113"/>
      <c r="K217" s="113"/>
      <c r="L217" s="113"/>
      <c r="M217" s="113"/>
      <c r="N217" s="113"/>
      <c r="O217" s="113"/>
      <c r="P217" s="113"/>
      <c r="Q217" s="126"/>
      <c r="R217" s="126"/>
    </row>
    <row r="218" ht="15.75" customHeight="1">
      <c r="B218" s="126"/>
      <c r="E218" s="126"/>
      <c r="G218" s="162"/>
      <c r="H218" s="162"/>
      <c r="I218" s="113"/>
      <c r="J218" s="113"/>
      <c r="K218" s="113"/>
      <c r="L218" s="113"/>
      <c r="M218" s="113"/>
      <c r="N218" s="113"/>
      <c r="O218" s="113"/>
      <c r="P218" s="113"/>
      <c r="Q218" s="126"/>
      <c r="R218" s="126"/>
    </row>
    <row r="219" ht="15.75" customHeight="1">
      <c r="B219" s="126"/>
      <c r="E219" s="126"/>
      <c r="G219" s="162"/>
      <c r="H219" s="162"/>
      <c r="I219" s="113"/>
      <c r="J219" s="113"/>
      <c r="K219" s="113"/>
      <c r="L219" s="113"/>
      <c r="M219" s="113"/>
      <c r="N219" s="113"/>
      <c r="O219" s="113"/>
      <c r="P219" s="113"/>
      <c r="Q219" s="126"/>
      <c r="R219" s="126"/>
    </row>
    <row r="220" ht="15.75" customHeight="1">
      <c r="B220" s="126"/>
      <c r="E220" s="126"/>
      <c r="G220" s="162"/>
      <c r="H220" s="162"/>
      <c r="I220" s="113"/>
      <c r="J220" s="113"/>
      <c r="K220" s="113"/>
      <c r="L220" s="113"/>
      <c r="M220" s="113"/>
      <c r="N220" s="113"/>
      <c r="O220" s="113"/>
      <c r="P220" s="113"/>
      <c r="Q220" s="126"/>
      <c r="R220" s="126"/>
    </row>
    <row r="221" ht="15.75" customHeight="1">
      <c r="B221" s="126"/>
      <c r="E221" s="126"/>
      <c r="G221" s="162"/>
      <c r="H221" s="162"/>
      <c r="I221" s="113"/>
      <c r="J221" s="113"/>
      <c r="K221" s="113"/>
      <c r="L221" s="113"/>
      <c r="M221" s="113"/>
      <c r="N221" s="113"/>
      <c r="O221" s="113"/>
      <c r="P221" s="113"/>
      <c r="Q221" s="126"/>
      <c r="R221" s="126"/>
    </row>
    <row r="222" ht="15.75" customHeight="1">
      <c r="B222" s="126"/>
      <c r="E222" s="126"/>
      <c r="G222" s="162"/>
      <c r="H222" s="162"/>
      <c r="I222" s="113"/>
      <c r="J222" s="113"/>
      <c r="K222" s="113"/>
      <c r="L222" s="113"/>
      <c r="M222" s="113"/>
      <c r="N222" s="113"/>
      <c r="O222" s="113"/>
      <c r="P222" s="113"/>
      <c r="Q222" s="126"/>
      <c r="R222" s="126"/>
    </row>
    <row r="223" ht="15.75" customHeight="1">
      <c r="B223" s="126"/>
      <c r="E223" s="126"/>
      <c r="G223" s="162"/>
      <c r="H223" s="162"/>
      <c r="I223" s="113"/>
      <c r="J223" s="113"/>
      <c r="K223" s="113"/>
      <c r="L223" s="113"/>
      <c r="M223" s="113"/>
      <c r="N223" s="113"/>
      <c r="O223" s="113"/>
      <c r="P223" s="113"/>
      <c r="Q223" s="126"/>
      <c r="R223" s="126"/>
    </row>
    <row r="224" ht="15.75" customHeight="1">
      <c r="B224" s="126"/>
      <c r="E224" s="126"/>
      <c r="G224" s="162"/>
      <c r="H224" s="162"/>
      <c r="I224" s="113"/>
      <c r="J224" s="113"/>
      <c r="K224" s="113"/>
      <c r="L224" s="113"/>
      <c r="M224" s="113"/>
      <c r="N224" s="113"/>
      <c r="O224" s="113"/>
      <c r="P224" s="113"/>
      <c r="Q224" s="126"/>
      <c r="R224" s="126"/>
    </row>
    <row r="225" ht="15.75" customHeight="1">
      <c r="B225" s="126"/>
      <c r="E225" s="126"/>
      <c r="G225" s="162"/>
      <c r="H225" s="162"/>
      <c r="I225" s="113"/>
      <c r="J225" s="113"/>
      <c r="K225" s="113"/>
      <c r="L225" s="113"/>
      <c r="M225" s="113"/>
      <c r="N225" s="113"/>
      <c r="O225" s="113"/>
      <c r="P225" s="113"/>
      <c r="Q225" s="126"/>
      <c r="R225" s="126"/>
    </row>
    <row r="226" ht="15.75" customHeight="1">
      <c r="B226" s="126"/>
      <c r="E226" s="126"/>
      <c r="G226" s="162"/>
      <c r="H226" s="162"/>
      <c r="I226" s="113"/>
      <c r="J226" s="113"/>
      <c r="K226" s="113"/>
      <c r="L226" s="113"/>
      <c r="M226" s="113"/>
      <c r="N226" s="113"/>
      <c r="O226" s="113"/>
      <c r="P226" s="113"/>
      <c r="Q226" s="126"/>
      <c r="R226" s="126"/>
    </row>
    <row r="227" ht="15.75" customHeight="1">
      <c r="B227" s="173"/>
      <c r="E227" s="173"/>
      <c r="Q227" s="173"/>
      <c r="R227" s="173"/>
    </row>
    <row r="228" ht="15.75" customHeight="1">
      <c r="B228" s="173"/>
      <c r="E228" s="173"/>
      <c r="Q228" s="173"/>
      <c r="R228" s="173"/>
    </row>
    <row r="229" ht="15.75" customHeight="1">
      <c r="B229" s="173"/>
      <c r="E229" s="173"/>
      <c r="Q229" s="173"/>
      <c r="R229" s="173"/>
    </row>
    <row r="230" ht="15.75" customHeight="1">
      <c r="B230" s="173"/>
      <c r="E230" s="173"/>
      <c r="Q230" s="173"/>
      <c r="R230" s="173"/>
    </row>
    <row r="231" ht="15.75" customHeight="1">
      <c r="B231" s="173"/>
      <c r="E231" s="173"/>
      <c r="Q231" s="173"/>
      <c r="R231" s="173"/>
    </row>
    <row r="232" ht="15.75" customHeight="1">
      <c r="B232" s="173"/>
      <c r="E232" s="173"/>
      <c r="Q232" s="173"/>
      <c r="R232" s="173"/>
    </row>
    <row r="233" ht="15.75" customHeight="1">
      <c r="B233" s="173"/>
      <c r="E233" s="173"/>
      <c r="Q233" s="173"/>
      <c r="R233" s="173"/>
    </row>
    <row r="234" ht="15.75" customHeight="1">
      <c r="B234" s="173"/>
      <c r="E234" s="173"/>
      <c r="Q234" s="173"/>
      <c r="R234" s="173"/>
    </row>
    <row r="235" ht="15.75" customHeight="1">
      <c r="B235" s="173"/>
      <c r="E235" s="173"/>
      <c r="Q235" s="173"/>
      <c r="R235" s="173"/>
    </row>
    <row r="236" ht="15.75" customHeight="1">
      <c r="B236" s="173"/>
      <c r="E236" s="173"/>
      <c r="Q236" s="173"/>
      <c r="R236" s="173"/>
    </row>
    <row r="237" ht="15.75" customHeight="1">
      <c r="B237" s="173"/>
      <c r="E237" s="173"/>
      <c r="Q237" s="173"/>
      <c r="R237" s="173"/>
    </row>
    <row r="238" ht="15.75" customHeight="1">
      <c r="B238" s="173"/>
      <c r="E238" s="173"/>
      <c r="Q238" s="173"/>
      <c r="R238" s="173"/>
    </row>
    <row r="239" ht="15.75" customHeight="1">
      <c r="B239" s="173"/>
      <c r="E239" s="173"/>
      <c r="Q239" s="173"/>
      <c r="R239" s="173"/>
    </row>
    <row r="240" ht="15.75" customHeight="1">
      <c r="B240" s="173"/>
      <c r="E240" s="173"/>
      <c r="Q240" s="173"/>
      <c r="R240" s="173"/>
    </row>
    <row r="241" ht="15.75" customHeight="1">
      <c r="B241" s="173"/>
      <c r="E241" s="173"/>
      <c r="Q241" s="173"/>
      <c r="R241" s="173"/>
    </row>
    <row r="242" ht="15.75" customHeight="1">
      <c r="B242" s="173"/>
      <c r="E242" s="173"/>
      <c r="Q242" s="173"/>
      <c r="R242" s="173"/>
    </row>
    <row r="243" ht="15.75" customHeight="1">
      <c r="B243" s="173"/>
      <c r="E243" s="173"/>
      <c r="Q243" s="173"/>
      <c r="R243" s="173"/>
    </row>
    <row r="244" ht="15.75" customHeight="1">
      <c r="B244" s="173"/>
      <c r="E244" s="173"/>
      <c r="Q244" s="173"/>
      <c r="R244" s="173"/>
    </row>
    <row r="245" ht="15.75" customHeight="1">
      <c r="B245" s="173"/>
      <c r="E245" s="173"/>
      <c r="Q245" s="173"/>
      <c r="R245" s="173"/>
    </row>
    <row r="246" ht="15.75" customHeight="1">
      <c r="B246" s="173"/>
      <c r="E246" s="173"/>
      <c r="Q246" s="173"/>
      <c r="R246" s="173"/>
    </row>
    <row r="247" ht="15.75" customHeight="1">
      <c r="B247" s="173"/>
      <c r="E247" s="173"/>
      <c r="Q247" s="173"/>
      <c r="R247" s="173"/>
    </row>
    <row r="248" ht="15.75" customHeight="1">
      <c r="B248" s="173"/>
      <c r="E248" s="173"/>
      <c r="Q248" s="173"/>
      <c r="R248" s="173"/>
    </row>
    <row r="249" ht="15.75" customHeight="1">
      <c r="B249" s="173"/>
      <c r="E249" s="173"/>
      <c r="Q249" s="173"/>
      <c r="R249" s="173"/>
    </row>
    <row r="250" ht="15.75" customHeight="1">
      <c r="B250" s="173"/>
      <c r="E250" s="173"/>
      <c r="Q250" s="173"/>
      <c r="R250" s="173"/>
    </row>
    <row r="251" ht="15.75" customHeight="1">
      <c r="B251" s="173"/>
      <c r="E251" s="173"/>
      <c r="Q251" s="173"/>
      <c r="R251" s="173"/>
    </row>
    <row r="252" ht="15.75" customHeight="1">
      <c r="B252" s="173"/>
      <c r="E252" s="173"/>
      <c r="Q252" s="173"/>
      <c r="R252" s="173"/>
    </row>
    <row r="253" ht="15.75" customHeight="1">
      <c r="B253" s="173"/>
      <c r="E253" s="173"/>
      <c r="Q253" s="173"/>
      <c r="R253" s="173"/>
    </row>
    <row r="254" ht="15.75" customHeight="1">
      <c r="B254" s="173"/>
      <c r="E254" s="173"/>
      <c r="Q254" s="173"/>
      <c r="R254" s="173"/>
    </row>
    <row r="255" ht="15.75" customHeight="1">
      <c r="B255" s="173"/>
      <c r="E255" s="173"/>
      <c r="Q255" s="173"/>
      <c r="R255" s="173"/>
    </row>
    <row r="256" ht="15.75" customHeight="1">
      <c r="B256" s="173"/>
      <c r="E256" s="173"/>
      <c r="Q256" s="173"/>
      <c r="R256" s="173"/>
    </row>
    <row r="257" ht="15.75" customHeight="1">
      <c r="B257" s="173"/>
      <c r="E257" s="173"/>
      <c r="Q257" s="173"/>
      <c r="R257" s="173"/>
    </row>
    <row r="258" ht="15.75" customHeight="1">
      <c r="B258" s="173"/>
      <c r="E258" s="173"/>
      <c r="Q258" s="173"/>
      <c r="R258" s="173"/>
    </row>
    <row r="259" ht="15.75" customHeight="1">
      <c r="B259" s="173"/>
      <c r="E259" s="173"/>
      <c r="Q259" s="173"/>
      <c r="R259" s="173"/>
    </row>
    <row r="260" ht="15.75" customHeight="1">
      <c r="B260" s="173"/>
      <c r="E260" s="173"/>
      <c r="Q260" s="173"/>
      <c r="R260" s="173"/>
    </row>
    <row r="261" ht="15.75" customHeight="1">
      <c r="B261" s="173"/>
      <c r="E261" s="173"/>
      <c r="Q261" s="173"/>
      <c r="R261" s="173"/>
    </row>
    <row r="262" ht="15.75" customHeight="1">
      <c r="B262" s="173"/>
      <c r="E262" s="173"/>
      <c r="Q262" s="173"/>
      <c r="R262" s="173"/>
    </row>
    <row r="263" ht="15.75" customHeight="1">
      <c r="B263" s="173"/>
      <c r="E263" s="173"/>
      <c r="Q263" s="173"/>
      <c r="R263" s="173"/>
    </row>
    <row r="264" ht="15.75" customHeight="1">
      <c r="B264" s="173"/>
      <c r="E264" s="173"/>
      <c r="Q264" s="173"/>
      <c r="R264" s="173"/>
    </row>
    <row r="265" ht="15.75" customHeight="1">
      <c r="B265" s="173"/>
      <c r="E265" s="173"/>
      <c r="Q265" s="173"/>
      <c r="R265" s="173"/>
    </row>
    <row r="266" ht="15.75" customHeight="1">
      <c r="B266" s="173"/>
      <c r="E266" s="173"/>
      <c r="Q266" s="173"/>
      <c r="R266" s="173"/>
    </row>
    <row r="267" ht="15.75" customHeight="1">
      <c r="B267" s="173"/>
      <c r="E267" s="173"/>
      <c r="Q267" s="173"/>
      <c r="R267" s="173"/>
    </row>
    <row r="268" ht="15.75" customHeight="1">
      <c r="B268" s="173"/>
      <c r="E268" s="173"/>
      <c r="Q268" s="173"/>
      <c r="R268" s="173"/>
    </row>
    <row r="269" ht="15.75" customHeight="1">
      <c r="B269" s="173"/>
      <c r="E269" s="173"/>
      <c r="Q269" s="173"/>
      <c r="R269" s="173"/>
    </row>
    <row r="270" ht="15.75" customHeight="1">
      <c r="B270" s="173"/>
      <c r="E270" s="173"/>
      <c r="Q270" s="173"/>
      <c r="R270" s="173"/>
    </row>
    <row r="271" ht="15.75" customHeight="1">
      <c r="B271" s="173"/>
      <c r="E271" s="173"/>
      <c r="Q271" s="173"/>
      <c r="R271" s="173"/>
    </row>
    <row r="272" ht="15.75" customHeight="1">
      <c r="B272" s="173"/>
      <c r="E272" s="173"/>
      <c r="Q272" s="173"/>
      <c r="R272" s="173"/>
    </row>
    <row r="273" ht="15.75" customHeight="1">
      <c r="B273" s="173"/>
      <c r="E273" s="173"/>
      <c r="Q273" s="173"/>
      <c r="R273" s="173"/>
    </row>
    <row r="274" ht="15.75" customHeight="1">
      <c r="B274" s="173"/>
      <c r="E274" s="173"/>
      <c r="Q274" s="173"/>
      <c r="R274" s="173"/>
    </row>
    <row r="275" ht="15.75" customHeight="1">
      <c r="B275" s="173"/>
      <c r="E275" s="173"/>
      <c r="Q275" s="173"/>
      <c r="R275" s="173"/>
    </row>
    <row r="276" ht="15.75" customHeight="1">
      <c r="B276" s="173"/>
      <c r="E276" s="173"/>
      <c r="Q276" s="173"/>
      <c r="R276" s="173"/>
    </row>
    <row r="277" ht="15.75" customHeight="1">
      <c r="B277" s="173"/>
      <c r="E277" s="173"/>
      <c r="Q277" s="173"/>
      <c r="R277" s="173"/>
    </row>
    <row r="278" ht="15.75" customHeight="1">
      <c r="B278" s="173"/>
      <c r="E278" s="173"/>
      <c r="Q278" s="173"/>
      <c r="R278" s="173"/>
    </row>
    <row r="279" ht="15.75" customHeight="1">
      <c r="B279" s="173"/>
      <c r="E279" s="173"/>
      <c r="Q279" s="173"/>
      <c r="R279" s="173"/>
    </row>
    <row r="280" ht="15.75" customHeight="1">
      <c r="B280" s="173"/>
      <c r="E280" s="173"/>
      <c r="Q280" s="173"/>
      <c r="R280" s="173"/>
    </row>
    <row r="281" ht="15.75" customHeight="1">
      <c r="B281" s="173"/>
      <c r="E281" s="173"/>
      <c r="Q281" s="173"/>
      <c r="R281" s="173"/>
    </row>
    <row r="282" ht="15.75" customHeight="1">
      <c r="B282" s="173"/>
      <c r="E282" s="173"/>
      <c r="Q282" s="173"/>
      <c r="R282" s="173"/>
    </row>
    <row r="283" ht="15.75" customHeight="1">
      <c r="B283" s="173"/>
      <c r="E283" s="173"/>
      <c r="Q283" s="173"/>
      <c r="R283" s="173"/>
    </row>
    <row r="284" ht="15.75" customHeight="1">
      <c r="B284" s="173"/>
      <c r="E284" s="173"/>
      <c r="Q284" s="173"/>
      <c r="R284" s="173"/>
    </row>
    <row r="285" ht="15.75" customHeight="1">
      <c r="B285" s="173"/>
      <c r="E285" s="173"/>
      <c r="Q285" s="173"/>
      <c r="R285" s="173"/>
    </row>
    <row r="286" ht="15.75" customHeight="1">
      <c r="B286" s="173"/>
      <c r="E286" s="173"/>
      <c r="Q286" s="173"/>
      <c r="R286" s="173"/>
    </row>
    <row r="287" ht="15.75" customHeight="1">
      <c r="B287" s="173"/>
      <c r="E287" s="173"/>
      <c r="Q287" s="173"/>
      <c r="R287" s="173"/>
    </row>
    <row r="288" ht="15.75" customHeight="1">
      <c r="B288" s="173"/>
      <c r="E288" s="173"/>
      <c r="Q288" s="173"/>
      <c r="R288" s="173"/>
    </row>
    <row r="289" ht="15.75" customHeight="1">
      <c r="B289" s="173"/>
      <c r="E289" s="173"/>
      <c r="Q289" s="173"/>
      <c r="R289" s="173"/>
    </row>
    <row r="290" ht="15.75" customHeight="1">
      <c r="B290" s="173"/>
      <c r="E290" s="173"/>
      <c r="Q290" s="173"/>
      <c r="R290" s="173"/>
    </row>
    <row r="291" ht="15.75" customHeight="1">
      <c r="B291" s="173"/>
      <c r="E291" s="173"/>
      <c r="Q291" s="173"/>
      <c r="R291" s="173"/>
    </row>
    <row r="292" ht="15.75" customHeight="1">
      <c r="B292" s="173"/>
      <c r="E292" s="173"/>
      <c r="Q292" s="173"/>
      <c r="R292" s="173"/>
    </row>
    <row r="293" ht="15.75" customHeight="1">
      <c r="B293" s="173"/>
      <c r="E293" s="173"/>
      <c r="Q293" s="173"/>
      <c r="R293" s="173"/>
    </row>
    <row r="294" ht="15.75" customHeight="1">
      <c r="B294" s="173"/>
      <c r="E294" s="173"/>
      <c r="Q294" s="173"/>
      <c r="R294" s="173"/>
    </row>
    <row r="295" ht="15.75" customHeight="1">
      <c r="B295" s="173"/>
      <c r="E295" s="173"/>
      <c r="Q295" s="173"/>
      <c r="R295" s="173"/>
    </row>
    <row r="296" ht="15.75" customHeight="1">
      <c r="B296" s="173"/>
      <c r="E296" s="173"/>
      <c r="Q296" s="173"/>
      <c r="R296" s="173"/>
    </row>
    <row r="297" ht="15.75" customHeight="1">
      <c r="B297" s="173"/>
      <c r="E297" s="173"/>
      <c r="Q297" s="173"/>
      <c r="R297" s="173"/>
    </row>
    <row r="298" ht="15.75" customHeight="1">
      <c r="B298" s="173"/>
      <c r="E298" s="173"/>
      <c r="Q298" s="173"/>
      <c r="R298" s="173"/>
    </row>
    <row r="299" ht="15.75" customHeight="1">
      <c r="B299" s="173"/>
      <c r="E299" s="173"/>
      <c r="Q299" s="173"/>
      <c r="R299" s="173"/>
    </row>
    <row r="300" ht="15.75" customHeight="1">
      <c r="B300" s="173"/>
      <c r="E300" s="173"/>
      <c r="Q300" s="173"/>
      <c r="R300" s="173"/>
    </row>
    <row r="301" ht="15.75" customHeight="1">
      <c r="B301" s="173"/>
      <c r="E301" s="173"/>
      <c r="Q301" s="173"/>
      <c r="R301" s="173"/>
    </row>
    <row r="302" ht="15.75" customHeight="1">
      <c r="B302" s="173"/>
      <c r="E302" s="173"/>
      <c r="Q302" s="173"/>
      <c r="R302" s="173"/>
    </row>
    <row r="303" ht="15.75" customHeight="1">
      <c r="B303" s="173"/>
      <c r="E303" s="173"/>
      <c r="Q303" s="173"/>
      <c r="R303" s="173"/>
    </row>
    <row r="304" ht="15.75" customHeight="1">
      <c r="B304" s="173"/>
      <c r="E304" s="173"/>
      <c r="Q304" s="173"/>
      <c r="R304" s="173"/>
    </row>
    <row r="305" ht="15.75" customHeight="1">
      <c r="B305" s="173"/>
      <c r="E305" s="173"/>
      <c r="Q305" s="173"/>
      <c r="R305" s="173"/>
    </row>
    <row r="306" ht="15.75" customHeight="1">
      <c r="B306" s="173"/>
      <c r="E306" s="173"/>
      <c r="Q306" s="173"/>
      <c r="R306" s="173"/>
    </row>
    <row r="307" ht="15.75" customHeight="1">
      <c r="B307" s="173"/>
      <c r="E307" s="173"/>
      <c r="Q307" s="173"/>
      <c r="R307" s="173"/>
    </row>
    <row r="308" ht="15.75" customHeight="1">
      <c r="B308" s="173"/>
      <c r="E308" s="173"/>
      <c r="Q308" s="173"/>
      <c r="R308" s="173"/>
    </row>
    <row r="309" ht="15.75" customHeight="1">
      <c r="B309" s="173"/>
      <c r="E309" s="173"/>
      <c r="Q309" s="173"/>
      <c r="R309" s="173"/>
    </row>
    <row r="310" ht="15.75" customHeight="1">
      <c r="B310" s="173"/>
      <c r="E310" s="173"/>
      <c r="Q310" s="173"/>
      <c r="R310" s="173"/>
    </row>
    <row r="311" ht="15.75" customHeight="1">
      <c r="B311" s="173"/>
      <c r="E311" s="173"/>
      <c r="Q311" s="173"/>
      <c r="R311" s="173"/>
    </row>
    <row r="312" ht="15.75" customHeight="1">
      <c r="B312" s="173"/>
      <c r="E312" s="173"/>
      <c r="Q312" s="173"/>
      <c r="R312" s="173"/>
    </row>
    <row r="313" ht="15.75" customHeight="1">
      <c r="B313" s="173"/>
      <c r="E313" s="173"/>
      <c r="Q313" s="173"/>
      <c r="R313" s="173"/>
    </row>
    <row r="314" ht="15.75" customHeight="1">
      <c r="B314" s="173"/>
      <c r="E314" s="173"/>
      <c r="Q314" s="173"/>
      <c r="R314" s="173"/>
    </row>
    <row r="315" ht="15.75" customHeight="1">
      <c r="B315" s="173"/>
      <c r="E315" s="173"/>
      <c r="Q315" s="173"/>
      <c r="R315" s="173"/>
    </row>
    <row r="316" ht="15.75" customHeight="1">
      <c r="B316" s="173"/>
      <c r="E316" s="173"/>
      <c r="Q316" s="173"/>
      <c r="R316" s="173"/>
    </row>
    <row r="317" ht="15.75" customHeight="1">
      <c r="B317" s="173"/>
      <c r="E317" s="173"/>
      <c r="Q317" s="173"/>
      <c r="R317" s="173"/>
    </row>
    <row r="318" ht="15.75" customHeight="1">
      <c r="B318" s="173"/>
      <c r="E318" s="173"/>
      <c r="Q318" s="173"/>
      <c r="R318" s="173"/>
    </row>
    <row r="319" ht="15.75" customHeight="1">
      <c r="B319" s="173"/>
      <c r="E319" s="173"/>
      <c r="Q319" s="173"/>
      <c r="R319" s="173"/>
    </row>
    <row r="320" ht="15.75" customHeight="1">
      <c r="B320" s="173"/>
      <c r="E320" s="173"/>
      <c r="Q320" s="173"/>
      <c r="R320" s="173"/>
    </row>
    <row r="321" ht="15.75" customHeight="1">
      <c r="B321" s="173"/>
      <c r="E321" s="173"/>
      <c r="Q321" s="173"/>
      <c r="R321" s="173"/>
    </row>
    <row r="322" ht="15.75" customHeight="1">
      <c r="B322" s="173"/>
      <c r="E322" s="173"/>
      <c r="Q322" s="173"/>
      <c r="R322" s="173"/>
    </row>
    <row r="323" ht="15.75" customHeight="1">
      <c r="B323" s="173"/>
      <c r="E323" s="173"/>
      <c r="Q323" s="173"/>
      <c r="R323" s="173"/>
    </row>
    <row r="324" ht="15.75" customHeight="1">
      <c r="B324" s="173"/>
      <c r="E324" s="173"/>
      <c r="Q324" s="173"/>
      <c r="R324" s="173"/>
    </row>
    <row r="325" ht="15.75" customHeight="1">
      <c r="B325" s="173"/>
      <c r="E325" s="173"/>
      <c r="Q325" s="173"/>
      <c r="R325" s="173"/>
    </row>
    <row r="326" ht="15.75" customHeight="1">
      <c r="B326" s="173"/>
      <c r="E326" s="173"/>
      <c r="Q326" s="173"/>
      <c r="R326" s="173"/>
    </row>
    <row r="327" ht="15.75" customHeight="1">
      <c r="B327" s="173"/>
      <c r="E327" s="173"/>
      <c r="Q327" s="173"/>
      <c r="R327" s="173"/>
    </row>
    <row r="328" ht="15.75" customHeight="1">
      <c r="B328" s="173"/>
      <c r="E328" s="173"/>
      <c r="Q328" s="173"/>
      <c r="R328" s="173"/>
    </row>
    <row r="329" ht="15.75" customHeight="1">
      <c r="B329" s="173"/>
      <c r="E329" s="173"/>
      <c r="Q329" s="173"/>
      <c r="R329" s="173"/>
    </row>
    <row r="330" ht="15.75" customHeight="1">
      <c r="B330" s="173"/>
      <c r="E330" s="173"/>
      <c r="Q330" s="173"/>
      <c r="R330" s="173"/>
    </row>
    <row r="331" ht="15.75" customHeight="1">
      <c r="B331" s="173"/>
      <c r="E331" s="173"/>
      <c r="Q331" s="173"/>
      <c r="R331" s="173"/>
    </row>
    <row r="332" ht="15.75" customHeight="1">
      <c r="B332" s="173"/>
      <c r="E332" s="173"/>
      <c r="Q332" s="173"/>
      <c r="R332" s="173"/>
    </row>
    <row r="333" ht="15.75" customHeight="1">
      <c r="B333" s="173"/>
      <c r="E333" s="173"/>
      <c r="Q333" s="173"/>
      <c r="R333" s="173"/>
    </row>
    <row r="334" ht="15.75" customHeight="1">
      <c r="B334" s="173"/>
      <c r="E334" s="173"/>
      <c r="Q334" s="173"/>
      <c r="R334" s="173"/>
    </row>
    <row r="335" ht="15.75" customHeight="1">
      <c r="B335" s="173"/>
      <c r="E335" s="173"/>
      <c r="Q335" s="173"/>
      <c r="R335" s="173"/>
    </row>
    <row r="336" ht="15.75" customHeight="1">
      <c r="B336" s="173"/>
      <c r="E336" s="173"/>
      <c r="Q336" s="173"/>
      <c r="R336" s="173"/>
    </row>
    <row r="337" ht="15.75" customHeight="1">
      <c r="B337" s="173"/>
      <c r="E337" s="173"/>
      <c r="Q337" s="173"/>
      <c r="R337" s="173"/>
    </row>
    <row r="338" ht="15.75" customHeight="1">
      <c r="B338" s="173"/>
      <c r="E338" s="173"/>
      <c r="Q338" s="173"/>
      <c r="R338" s="173"/>
    </row>
    <row r="339" ht="15.75" customHeight="1">
      <c r="B339" s="173"/>
      <c r="E339" s="173"/>
      <c r="Q339" s="173"/>
      <c r="R339" s="173"/>
    </row>
    <row r="340" ht="15.75" customHeight="1">
      <c r="B340" s="173"/>
      <c r="E340" s="173"/>
      <c r="Q340" s="173"/>
      <c r="R340" s="173"/>
    </row>
    <row r="341" ht="15.75" customHeight="1">
      <c r="B341" s="173"/>
      <c r="E341" s="173"/>
      <c r="Q341" s="173"/>
      <c r="R341" s="173"/>
    </row>
    <row r="342" ht="15.75" customHeight="1">
      <c r="B342" s="173"/>
      <c r="E342" s="173"/>
      <c r="Q342" s="173"/>
      <c r="R342" s="173"/>
    </row>
    <row r="343" ht="15.75" customHeight="1">
      <c r="B343" s="173"/>
      <c r="E343" s="173"/>
      <c r="Q343" s="173"/>
      <c r="R343" s="173"/>
    </row>
    <row r="344" ht="15.75" customHeight="1">
      <c r="B344" s="173"/>
      <c r="E344" s="173"/>
      <c r="Q344" s="173"/>
      <c r="R344" s="173"/>
    </row>
    <row r="345" ht="15.75" customHeight="1">
      <c r="B345" s="173"/>
      <c r="E345" s="173"/>
      <c r="Q345" s="173"/>
      <c r="R345" s="173"/>
    </row>
    <row r="346" ht="15.75" customHeight="1">
      <c r="B346" s="173"/>
      <c r="E346" s="173"/>
      <c r="Q346" s="173"/>
      <c r="R346" s="173"/>
    </row>
    <row r="347" ht="15.75" customHeight="1">
      <c r="B347" s="173"/>
      <c r="E347" s="173"/>
      <c r="Q347" s="173"/>
      <c r="R347" s="173"/>
    </row>
    <row r="348" ht="15.75" customHeight="1">
      <c r="B348" s="173"/>
      <c r="E348" s="173"/>
      <c r="Q348" s="173"/>
      <c r="R348" s="173"/>
    </row>
    <row r="349" ht="15.75" customHeight="1">
      <c r="B349" s="173"/>
      <c r="E349" s="173"/>
      <c r="Q349" s="173"/>
      <c r="R349" s="173"/>
    </row>
    <row r="350" ht="15.75" customHeight="1">
      <c r="B350" s="173"/>
      <c r="E350" s="173"/>
      <c r="Q350" s="173"/>
      <c r="R350" s="173"/>
    </row>
    <row r="351" ht="15.75" customHeight="1">
      <c r="B351" s="173"/>
      <c r="E351" s="173"/>
      <c r="Q351" s="173"/>
      <c r="R351" s="173"/>
    </row>
    <row r="352" ht="15.75" customHeight="1">
      <c r="B352" s="173"/>
      <c r="E352" s="173"/>
      <c r="Q352" s="173"/>
      <c r="R352" s="173"/>
    </row>
    <row r="353" ht="15.75" customHeight="1">
      <c r="B353" s="173"/>
      <c r="E353" s="173"/>
      <c r="Q353" s="173"/>
      <c r="R353" s="173"/>
    </row>
    <row r="354" ht="15.75" customHeight="1">
      <c r="B354" s="173"/>
      <c r="E354" s="173"/>
      <c r="Q354" s="173"/>
      <c r="R354" s="173"/>
    </row>
    <row r="355" ht="15.75" customHeight="1">
      <c r="B355" s="173"/>
      <c r="E355" s="173"/>
      <c r="Q355" s="173"/>
      <c r="R355" s="173"/>
    </row>
    <row r="356" ht="15.75" customHeight="1">
      <c r="B356" s="173"/>
      <c r="E356" s="173"/>
      <c r="Q356" s="173"/>
      <c r="R356" s="173"/>
    </row>
    <row r="357" ht="15.75" customHeight="1">
      <c r="B357" s="173"/>
      <c r="E357" s="173"/>
      <c r="Q357" s="173"/>
      <c r="R357" s="173"/>
    </row>
    <row r="358" ht="15.75" customHeight="1">
      <c r="B358" s="173"/>
      <c r="E358" s="173"/>
      <c r="Q358" s="173"/>
      <c r="R358" s="173"/>
    </row>
    <row r="359" ht="15.75" customHeight="1">
      <c r="B359" s="173"/>
      <c r="E359" s="173"/>
      <c r="Q359" s="173"/>
      <c r="R359" s="173"/>
    </row>
    <row r="360" ht="15.75" customHeight="1">
      <c r="B360" s="173"/>
      <c r="E360" s="173"/>
      <c r="Q360" s="173"/>
      <c r="R360" s="173"/>
    </row>
    <row r="361" ht="15.75" customHeight="1">
      <c r="B361" s="173"/>
      <c r="E361" s="173"/>
      <c r="Q361" s="173"/>
      <c r="R361" s="173"/>
    </row>
    <row r="362" ht="15.75" customHeight="1">
      <c r="B362" s="173"/>
      <c r="E362" s="173"/>
      <c r="Q362" s="173"/>
      <c r="R362" s="173"/>
    </row>
    <row r="363" ht="15.75" customHeight="1">
      <c r="B363" s="173"/>
      <c r="E363" s="173"/>
      <c r="Q363" s="173"/>
      <c r="R363" s="173"/>
    </row>
    <row r="364" ht="15.75" customHeight="1">
      <c r="B364" s="173"/>
      <c r="E364" s="173"/>
      <c r="Q364" s="173"/>
      <c r="R364" s="173"/>
    </row>
    <row r="365" ht="15.75" customHeight="1">
      <c r="B365" s="173"/>
      <c r="E365" s="173"/>
      <c r="Q365" s="173"/>
      <c r="R365" s="173"/>
    </row>
    <row r="366" ht="15.75" customHeight="1">
      <c r="B366" s="173"/>
      <c r="E366" s="173"/>
      <c r="Q366" s="173"/>
      <c r="R366" s="173"/>
    </row>
    <row r="367" ht="15.75" customHeight="1">
      <c r="B367" s="173"/>
      <c r="E367" s="173"/>
      <c r="Q367" s="173"/>
      <c r="R367" s="173"/>
    </row>
    <row r="368" ht="15.75" customHeight="1">
      <c r="B368" s="173"/>
      <c r="E368" s="173"/>
      <c r="Q368" s="173"/>
      <c r="R368" s="173"/>
    </row>
    <row r="369" ht="15.75" customHeight="1">
      <c r="B369" s="173"/>
      <c r="E369" s="173"/>
      <c r="Q369" s="173"/>
      <c r="R369" s="173"/>
    </row>
    <row r="370" ht="15.75" customHeight="1">
      <c r="B370" s="173"/>
      <c r="E370" s="173"/>
      <c r="Q370" s="173"/>
      <c r="R370" s="173"/>
    </row>
    <row r="371" ht="15.75" customHeight="1">
      <c r="B371" s="173"/>
      <c r="E371" s="173"/>
      <c r="Q371" s="173"/>
      <c r="R371" s="173"/>
    </row>
    <row r="372" ht="15.75" customHeight="1">
      <c r="B372" s="173"/>
      <c r="E372" s="173"/>
      <c r="Q372" s="173"/>
      <c r="R372" s="173"/>
    </row>
    <row r="373" ht="15.75" customHeight="1">
      <c r="B373" s="173"/>
      <c r="E373" s="173"/>
      <c r="Q373" s="173"/>
      <c r="R373" s="173"/>
    </row>
    <row r="374" ht="15.75" customHeight="1">
      <c r="B374" s="173"/>
      <c r="E374" s="173"/>
      <c r="Q374" s="173"/>
      <c r="R374" s="173"/>
    </row>
    <row r="375" ht="15.75" customHeight="1">
      <c r="B375" s="173"/>
      <c r="E375" s="173"/>
      <c r="Q375" s="173"/>
      <c r="R375" s="173"/>
    </row>
    <row r="376" ht="15.75" customHeight="1">
      <c r="B376" s="173"/>
      <c r="E376" s="173"/>
      <c r="Q376" s="173"/>
      <c r="R376" s="173"/>
    </row>
    <row r="377" ht="15.75" customHeight="1">
      <c r="B377" s="173"/>
      <c r="E377" s="173"/>
      <c r="Q377" s="173"/>
      <c r="R377" s="173"/>
    </row>
    <row r="378" ht="15.75" customHeight="1">
      <c r="B378" s="173"/>
      <c r="E378" s="173"/>
      <c r="Q378" s="173"/>
      <c r="R378" s="173"/>
    </row>
    <row r="379" ht="15.75" customHeight="1">
      <c r="B379" s="173"/>
      <c r="E379" s="173"/>
      <c r="Q379" s="173"/>
      <c r="R379" s="173"/>
    </row>
    <row r="380" ht="15.75" customHeight="1">
      <c r="B380" s="173"/>
      <c r="E380" s="173"/>
      <c r="Q380" s="173"/>
      <c r="R380" s="173"/>
    </row>
    <row r="381" ht="15.75" customHeight="1">
      <c r="B381" s="173"/>
      <c r="E381" s="173"/>
      <c r="Q381" s="173"/>
      <c r="R381" s="173"/>
    </row>
    <row r="382" ht="15.75" customHeight="1">
      <c r="B382" s="173"/>
      <c r="E382" s="173"/>
      <c r="Q382" s="173"/>
      <c r="R382" s="173"/>
    </row>
    <row r="383" ht="15.75" customHeight="1">
      <c r="B383" s="173"/>
      <c r="E383" s="173"/>
      <c r="Q383" s="173"/>
      <c r="R383" s="173"/>
    </row>
    <row r="384" ht="15.75" customHeight="1">
      <c r="B384" s="173"/>
      <c r="E384" s="173"/>
      <c r="Q384" s="173"/>
      <c r="R384" s="173"/>
    </row>
    <row r="385" ht="15.75" customHeight="1">
      <c r="B385" s="173"/>
      <c r="E385" s="173"/>
      <c r="Q385" s="173"/>
      <c r="R385" s="173"/>
    </row>
    <row r="386" ht="15.75" customHeight="1">
      <c r="B386" s="173"/>
      <c r="E386" s="173"/>
      <c r="Q386" s="173"/>
      <c r="R386" s="173"/>
    </row>
    <row r="387" ht="15.75" customHeight="1">
      <c r="B387" s="173"/>
      <c r="E387" s="173"/>
      <c r="Q387" s="173"/>
      <c r="R387" s="173"/>
    </row>
    <row r="388" ht="15.75" customHeight="1">
      <c r="B388" s="173"/>
      <c r="E388" s="173"/>
      <c r="Q388" s="173"/>
      <c r="R388" s="173"/>
    </row>
    <row r="389" ht="15.75" customHeight="1">
      <c r="B389" s="173"/>
      <c r="E389" s="173"/>
      <c r="Q389" s="173"/>
      <c r="R389" s="173"/>
    </row>
    <row r="390" ht="15.75" customHeight="1">
      <c r="B390" s="173"/>
      <c r="E390" s="173"/>
      <c r="Q390" s="173"/>
      <c r="R390" s="173"/>
    </row>
    <row r="391" ht="15.75" customHeight="1">
      <c r="B391" s="173"/>
      <c r="E391" s="173"/>
      <c r="Q391" s="173"/>
      <c r="R391" s="173"/>
    </row>
    <row r="392" ht="15.75" customHeight="1">
      <c r="B392" s="173"/>
      <c r="E392" s="173"/>
      <c r="Q392" s="173"/>
      <c r="R392" s="173"/>
    </row>
    <row r="393" ht="15.75" customHeight="1">
      <c r="B393" s="173"/>
      <c r="E393" s="173"/>
      <c r="Q393" s="173"/>
      <c r="R393" s="173"/>
    </row>
    <row r="394" ht="15.75" customHeight="1">
      <c r="B394" s="173"/>
      <c r="E394" s="173"/>
      <c r="Q394" s="173"/>
      <c r="R394" s="173"/>
    </row>
    <row r="395" ht="15.75" customHeight="1">
      <c r="B395" s="173"/>
      <c r="E395" s="173"/>
      <c r="Q395" s="173"/>
      <c r="R395" s="173"/>
    </row>
    <row r="396" ht="15.75" customHeight="1">
      <c r="B396" s="173"/>
      <c r="E396" s="173"/>
      <c r="Q396" s="173"/>
      <c r="R396" s="173"/>
    </row>
    <row r="397" ht="15.75" customHeight="1">
      <c r="B397" s="173"/>
      <c r="E397" s="173"/>
      <c r="Q397" s="173"/>
      <c r="R397" s="173"/>
    </row>
    <row r="398" ht="15.75" customHeight="1">
      <c r="B398" s="173"/>
      <c r="E398" s="173"/>
      <c r="Q398" s="173"/>
      <c r="R398" s="173"/>
    </row>
    <row r="399" ht="15.75" customHeight="1">
      <c r="B399" s="173"/>
      <c r="E399" s="173"/>
      <c r="Q399" s="173"/>
      <c r="R399" s="173"/>
    </row>
    <row r="400" ht="15.75" customHeight="1">
      <c r="B400" s="173"/>
      <c r="E400" s="173"/>
      <c r="Q400" s="173"/>
      <c r="R400" s="173"/>
    </row>
    <row r="401" ht="15.75" customHeight="1">
      <c r="B401" s="173"/>
      <c r="E401" s="173"/>
      <c r="Q401" s="173"/>
      <c r="R401" s="173"/>
    </row>
    <row r="402" ht="15.75" customHeight="1">
      <c r="B402" s="173"/>
      <c r="E402" s="173"/>
      <c r="Q402" s="173"/>
      <c r="R402" s="173"/>
    </row>
    <row r="403" ht="15.75" customHeight="1">
      <c r="B403" s="173"/>
      <c r="E403" s="173"/>
      <c r="Q403" s="173"/>
      <c r="R403" s="173"/>
    </row>
    <row r="404" ht="15.75" customHeight="1">
      <c r="B404" s="173"/>
      <c r="E404" s="173"/>
      <c r="Q404" s="173"/>
      <c r="R404" s="173"/>
    </row>
    <row r="405" ht="15.75" customHeight="1">
      <c r="B405" s="173"/>
      <c r="E405" s="173"/>
      <c r="Q405" s="173"/>
      <c r="R405" s="173"/>
    </row>
    <row r="406" ht="15.75" customHeight="1">
      <c r="B406" s="173"/>
      <c r="E406" s="173"/>
      <c r="Q406" s="173"/>
      <c r="R406" s="173"/>
    </row>
    <row r="407" ht="15.75" customHeight="1">
      <c r="B407" s="173"/>
      <c r="E407" s="173"/>
      <c r="Q407" s="173"/>
      <c r="R407" s="173"/>
    </row>
    <row r="408" ht="15.75" customHeight="1">
      <c r="B408" s="173"/>
      <c r="E408" s="173"/>
      <c r="Q408" s="173"/>
      <c r="R408" s="173"/>
    </row>
    <row r="409" ht="15.75" customHeight="1">
      <c r="B409" s="173"/>
      <c r="E409" s="173"/>
      <c r="Q409" s="173"/>
      <c r="R409" s="173"/>
    </row>
    <row r="410" ht="15.75" customHeight="1">
      <c r="B410" s="173"/>
      <c r="E410" s="173"/>
      <c r="Q410" s="173"/>
      <c r="R410" s="173"/>
    </row>
    <row r="411" ht="15.75" customHeight="1">
      <c r="B411" s="173"/>
      <c r="E411" s="173"/>
      <c r="Q411" s="173"/>
      <c r="R411" s="173"/>
    </row>
    <row r="412" ht="15.75" customHeight="1">
      <c r="B412" s="173"/>
      <c r="E412" s="173"/>
      <c r="Q412" s="173"/>
      <c r="R412" s="173"/>
    </row>
    <row r="413" ht="15.75" customHeight="1">
      <c r="B413" s="173"/>
      <c r="E413" s="173"/>
      <c r="Q413" s="173"/>
      <c r="R413" s="173"/>
    </row>
    <row r="414" ht="15.75" customHeight="1">
      <c r="B414" s="173"/>
      <c r="E414" s="173"/>
      <c r="Q414" s="173"/>
      <c r="R414" s="173"/>
    </row>
    <row r="415" ht="15.75" customHeight="1">
      <c r="B415" s="173"/>
      <c r="E415" s="173"/>
      <c r="Q415" s="173"/>
      <c r="R415" s="173"/>
    </row>
    <row r="416" ht="15.75" customHeight="1">
      <c r="B416" s="173"/>
      <c r="E416" s="173"/>
      <c r="Q416" s="173"/>
      <c r="R416" s="173"/>
    </row>
    <row r="417" ht="15.75" customHeight="1">
      <c r="B417" s="173"/>
      <c r="E417" s="173"/>
      <c r="Q417" s="173"/>
      <c r="R417" s="173"/>
    </row>
    <row r="418" ht="15.75" customHeight="1">
      <c r="B418" s="173"/>
      <c r="E418" s="173"/>
      <c r="Q418" s="173"/>
      <c r="R418" s="173"/>
    </row>
    <row r="419" ht="15.75" customHeight="1">
      <c r="B419" s="173"/>
      <c r="E419" s="173"/>
      <c r="Q419" s="173"/>
      <c r="R419" s="173"/>
    </row>
    <row r="420" ht="15.75" customHeight="1">
      <c r="B420" s="173"/>
      <c r="E420" s="173"/>
      <c r="Q420" s="173"/>
      <c r="R420" s="173"/>
    </row>
    <row r="421" ht="15.75" customHeight="1">
      <c r="B421" s="173"/>
      <c r="E421" s="173"/>
      <c r="Q421" s="173"/>
      <c r="R421" s="173"/>
    </row>
    <row r="422" ht="15.75" customHeight="1">
      <c r="B422" s="173"/>
      <c r="E422" s="173"/>
      <c r="Q422" s="173"/>
      <c r="R422" s="173"/>
    </row>
    <row r="423" ht="15.75" customHeight="1">
      <c r="B423" s="173"/>
      <c r="E423" s="173"/>
      <c r="Q423" s="173"/>
      <c r="R423" s="173"/>
    </row>
    <row r="424" ht="15.75" customHeight="1">
      <c r="B424" s="173"/>
      <c r="E424" s="173"/>
      <c r="Q424" s="173"/>
      <c r="R424" s="173"/>
    </row>
    <row r="425" ht="15.75" customHeight="1">
      <c r="B425" s="173"/>
      <c r="E425" s="173"/>
      <c r="Q425" s="173"/>
      <c r="R425" s="173"/>
    </row>
    <row r="426" ht="15.75" customHeight="1">
      <c r="B426" s="173"/>
      <c r="E426" s="173"/>
      <c r="Q426" s="173"/>
      <c r="R426" s="173"/>
    </row>
    <row r="427" ht="15.75" customHeight="1">
      <c r="B427" s="173"/>
      <c r="E427" s="173"/>
      <c r="Q427" s="173"/>
      <c r="R427" s="173"/>
    </row>
    <row r="428" ht="15.75" customHeight="1">
      <c r="B428" s="173"/>
      <c r="E428" s="173"/>
      <c r="Q428" s="173"/>
      <c r="R428" s="173"/>
    </row>
    <row r="429" ht="15.75" customHeight="1">
      <c r="B429" s="173"/>
      <c r="E429" s="173"/>
      <c r="Q429" s="173"/>
      <c r="R429" s="173"/>
    </row>
    <row r="430" ht="15.75" customHeight="1">
      <c r="B430" s="173"/>
      <c r="E430" s="173"/>
      <c r="Q430" s="173"/>
      <c r="R430" s="173"/>
    </row>
    <row r="431" ht="15.75" customHeight="1">
      <c r="B431" s="173"/>
      <c r="E431" s="173"/>
      <c r="Q431" s="173"/>
      <c r="R431" s="173"/>
    </row>
    <row r="432" ht="15.75" customHeight="1">
      <c r="B432" s="173"/>
      <c r="E432" s="173"/>
      <c r="Q432" s="173"/>
      <c r="R432" s="173"/>
    </row>
    <row r="433" ht="15.75" customHeight="1">
      <c r="B433" s="173"/>
      <c r="E433" s="173"/>
      <c r="Q433" s="173"/>
      <c r="R433" s="173"/>
    </row>
    <row r="434" ht="15.75" customHeight="1">
      <c r="B434" s="173"/>
      <c r="E434" s="173"/>
      <c r="Q434" s="173"/>
      <c r="R434" s="173"/>
    </row>
    <row r="435" ht="15.75" customHeight="1">
      <c r="B435" s="173"/>
      <c r="E435" s="173"/>
      <c r="Q435" s="173"/>
      <c r="R435" s="173"/>
    </row>
    <row r="436" ht="15.75" customHeight="1">
      <c r="B436" s="173"/>
      <c r="E436" s="173"/>
      <c r="Q436" s="173"/>
      <c r="R436" s="173"/>
    </row>
    <row r="437" ht="15.75" customHeight="1">
      <c r="B437" s="173"/>
      <c r="E437" s="173"/>
      <c r="Q437" s="173"/>
      <c r="R437" s="173"/>
    </row>
    <row r="438" ht="15.75" customHeight="1">
      <c r="B438" s="173"/>
      <c r="E438" s="173"/>
      <c r="Q438" s="173"/>
      <c r="R438" s="173"/>
    </row>
    <row r="439" ht="15.75" customHeight="1">
      <c r="B439" s="173"/>
      <c r="E439" s="173"/>
      <c r="Q439" s="173"/>
      <c r="R439" s="173"/>
    </row>
    <row r="440" ht="15.75" customHeight="1">
      <c r="B440" s="173"/>
      <c r="E440" s="173"/>
      <c r="Q440" s="173"/>
      <c r="R440" s="173"/>
    </row>
    <row r="441" ht="15.75" customHeight="1">
      <c r="B441" s="173"/>
      <c r="E441" s="173"/>
      <c r="Q441" s="173"/>
      <c r="R441" s="173"/>
    </row>
    <row r="442" ht="15.75" customHeight="1">
      <c r="B442" s="173"/>
      <c r="E442" s="173"/>
      <c r="Q442" s="173"/>
      <c r="R442" s="173"/>
    </row>
    <row r="443" ht="15.75" customHeight="1">
      <c r="B443" s="173"/>
      <c r="E443" s="173"/>
      <c r="Q443" s="173"/>
      <c r="R443" s="173"/>
    </row>
    <row r="444" ht="15.75" customHeight="1">
      <c r="B444" s="173"/>
      <c r="E444" s="173"/>
      <c r="Q444" s="173"/>
      <c r="R444" s="173"/>
    </row>
    <row r="445" ht="15.75" customHeight="1">
      <c r="B445" s="173"/>
      <c r="E445" s="173"/>
      <c r="Q445" s="173"/>
      <c r="R445" s="173"/>
    </row>
    <row r="446" ht="15.75" customHeight="1">
      <c r="B446" s="173"/>
      <c r="E446" s="173"/>
      <c r="Q446" s="173"/>
      <c r="R446" s="173"/>
    </row>
    <row r="447" ht="15.75" customHeight="1">
      <c r="B447" s="173"/>
      <c r="E447" s="173"/>
      <c r="Q447" s="173"/>
      <c r="R447" s="173"/>
    </row>
    <row r="448" ht="15.75" customHeight="1">
      <c r="B448" s="173"/>
      <c r="E448" s="173"/>
      <c r="Q448" s="173"/>
      <c r="R448" s="173"/>
    </row>
    <row r="449" ht="15.75" customHeight="1">
      <c r="B449" s="173"/>
      <c r="E449" s="173"/>
      <c r="Q449" s="173"/>
      <c r="R449" s="173"/>
    </row>
    <row r="450" ht="15.75" customHeight="1">
      <c r="B450" s="173"/>
      <c r="E450" s="173"/>
      <c r="Q450" s="173"/>
      <c r="R450" s="173"/>
    </row>
    <row r="451" ht="15.75" customHeight="1">
      <c r="B451" s="173"/>
      <c r="E451" s="173"/>
      <c r="Q451" s="173"/>
      <c r="R451" s="173"/>
    </row>
    <row r="452" ht="15.75" customHeight="1">
      <c r="B452" s="173"/>
      <c r="E452" s="173"/>
      <c r="Q452" s="173"/>
      <c r="R452" s="173"/>
    </row>
    <row r="453" ht="15.75" customHeight="1">
      <c r="B453" s="173"/>
      <c r="E453" s="173"/>
      <c r="Q453" s="173"/>
      <c r="R453" s="173"/>
    </row>
    <row r="454" ht="15.75" customHeight="1">
      <c r="B454" s="173"/>
      <c r="E454" s="173"/>
      <c r="Q454" s="173"/>
      <c r="R454" s="173"/>
    </row>
    <row r="455" ht="15.75" customHeight="1">
      <c r="B455" s="173"/>
      <c r="E455" s="173"/>
      <c r="Q455" s="173"/>
      <c r="R455" s="173"/>
    </row>
    <row r="456" ht="15.75" customHeight="1">
      <c r="B456" s="173"/>
      <c r="E456" s="173"/>
      <c r="Q456" s="173"/>
      <c r="R456" s="173"/>
    </row>
    <row r="457" ht="15.75" customHeight="1">
      <c r="B457" s="173"/>
      <c r="E457" s="173"/>
      <c r="Q457" s="173"/>
      <c r="R457" s="173"/>
    </row>
    <row r="458" ht="15.75" customHeight="1">
      <c r="B458" s="173"/>
      <c r="E458" s="173"/>
      <c r="Q458" s="173"/>
      <c r="R458" s="173"/>
    </row>
    <row r="459" ht="15.75" customHeight="1">
      <c r="B459" s="173"/>
      <c r="E459" s="173"/>
      <c r="Q459" s="173"/>
      <c r="R459" s="173"/>
    </row>
    <row r="460" ht="15.75" customHeight="1">
      <c r="B460" s="173"/>
      <c r="E460" s="173"/>
      <c r="Q460" s="173"/>
      <c r="R460" s="173"/>
    </row>
    <row r="461" ht="15.75" customHeight="1">
      <c r="B461" s="173"/>
      <c r="E461" s="173"/>
      <c r="Q461" s="173"/>
      <c r="R461" s="173"/>
    </row>
    <row r="462" ht="15.75" customHeight="1">
      <c r="B462" s="173"/>
      <c r="E462" s="173"/>
      <c r="Q462" s="173"/>
      <c r="R462" s="173"/>
    </row>
    <row r="463" ht="15.75" customHeight="1">
      <c r="B463" s="173"/>
      <c r="E463" s="173"/>
      <c r="Q463" s="173"/>
      <c r="R463" s="173"/>
    </row>
    <row r="464" ht="15.75" customHeight="1">
      <c r="B464" s="173"/>
      <c r="E464" s="173"/>
      <c r="Q464" s="173"/>
      <c r="R464" s="173"/>
    </row>
    <row r="465" ht="15.75" customHeight="1">
      <c r="B465" s="173"/>
      <c r="E465" s="173"/>
      <c r="Q465" s="173"/>
      <c r="R465" s="173"/>
    </row>
    <row r="466" ht="15.75" customHeight="1">
      <c r="B466" s="173"/>
      <c r="E466" s="173"/>
      <c r="Q466" s="173"/>
      <c r="R466" s="173"/>
    </row>
    <row r="467" ht="15.75" customHeight="1">
      <c r="B467" s="173"/>
      <c r="E467" s="173"/>
      <c r="Q467" s="173"/>
      <c r="R467" s="173"/>
    </row>
    <row r="468" ht="15.75" customHeight="1">
      <c r="B468" s="173"/>
      <c r="E468" s="173"/>
      <c r="Q468" s="173"/>
      <c r="R468" s="173"/>
    </row>
    <row r="469" ht="15.75" customHeight="1">
      <c r="B469" s="173"/>
      <c r="E469" s="173"/>
      <c r="Q469" s="173"/>
      <c r="R469" s="173"/>
    </row>
    <row r="470" ht="15.75" customHeight="1">
      <c r="B470" s="173"/>
      <c r="E470" s="173"/>
      <c r="Q470" s="173"/>
      <c r="R470" s="173"/>
    </row>
    <row r="471" ht="15.75" customHeight="1">
      <c r="B471" s="173"/>
      <c r="E471" s="173"/>
      <c r="Q471" s="173"/>
      <c r="R471" s="173"/>
    </row>
    <row r="472" ht="15.75" customHeight="1">
      <c r="B472" s="173"/>
      <c r="E472" s="173"/>
      <c r="Q472" s="173"/>
      <c r="R472" s="173"/>
    </row>
    <row r="473" ht="15.75" customHeight="1">
      <c r="B473" s="173"/>
      <c r="E473" s="173"/>
      <c r="Q473" s="173"/>
      <c r="R473" s="173"/>
    </row>
    <row r="474" ht="15.75" customHeight="1">
      <c r="B474" s="173"/>
      <c r="E474" s="173"/>
      <c r="Q474" s="173"/>
      <c r="R474" s="173"/>
    </row>
    <row r="475" ht="15.75" customHeight="1">
      <c r="B475" s="173"/>
      <c r="E475" s="173"/>
      <c r="Q475" s="173"/>
      <c r="R475" s="173"/>
    </row>
    <row r="476" ht="15.75" customHeight="1">
      <c r="B476" s="173"/>
      <c r="E476" s="173"/>
      <c r="Q476" s="173"/>
      <c r="R476" s="173"/>
    </row>
    <row r="477" ht="15.75" customHeight="1">
      <c r="B477" s="173"/>
      <c r="E477" s="173"/>
      <c r="Q477" s="173"/>
      <c r="R477" s="173"/>
    </row>
    <row r="478" ht="15.75" customHeight="1">
      <c r="B478" s="173"/>
      <c r="E478" s="173"/>
      <c r="Q478" s="173"/>
      <c r="R478" s="173"/>
    </row>
    <row r="479" ht="15.75" customHeight="1">
      <c r="B479" s="173"/>
      <c r="E479" s="173"/>
      <c r="Q479" s="173"/>
      <c r="R479" s="173"/>
    </row>
    <row r="480" ht="15.75" customHeight="1">
      <c r="B480" s="173"/>
      <c r="E480" s="173"/>
      <c r="Q480" s="173"/>
      <c r="R480" s="173"/>
    </row>
    <row r="481" ht="15.75" customHeight="1">
      <c r="B481" s="173"/>
      <c r="E481" s="173"/>
      <c r="Q481" s="173"/>
      <c r="R481" s="173"/>
    </row>
    <row r="482" ht="15.75" customHeight="1">
      <c r="B482" s="173"/>
      <c r="E482" s="173"/>
      <c r="Q482" s="173"/>
      <c r="R482" s="173"/>
    </row>
    <row r="483" ht="15.75" customHeight="1">
      <c r="B483" s="173"/>
      <c r="E483" s="173"/>
      <c r="Q483" s="173"/>
      <c r="R483" s="173"/>
    </row>
    <row r="484" ht="15.75" customHeight="1">
      <c r="B484" s="173"/>
      <c r="E484" s="173"/>
      <c r="Q484" s="173"/>
      <c r="R484" s="173"/>
    </row>
    <row r="485" ht="15.75" customHeight="1">
      <c r="B485" s="173"/>
      <c r="E485" s="173"/>
      <c r="Q485" s="173"/>
      <c r="R485" s="173"/>
    </row>
    <row r="486" ht="15.75" customHeight="1">
      <c r="B486" s="173"/>
      <c r="E486" s="173"/>
      <c r="Q486" s="173"/>
      <c r="R486" s="173"/>
    </row>
    <row r="487" ht="15.75" customHeight="1">
      <c r="B487" s="173"/>
      <c r="E487" s="173"/>
      <c r="Q487" s="173"/>
      <c r="R487" s="173"/>
    </row>
    <row r="488" ht="15.75" customHeight="1">
      <c r="B488" s="173"/>
      <c r="E488" s="173"/>
      <c r="Q488" s="173"/>
      <c r="R488" s="173"/>
    </row>
    <row r="489" ht="15.75" customHeight="1">
      <c r="B489" s="173"/>
      <c r="E489" s="173"/>
      <c r="Q489" s="173"/>
      <c r="R489" s="173"/>
    </row>
    <row r="490" ht="15.75" customHeight="1">
      <c r="B490" s="173"/>
      <c r="E490" s="173"/>
      <c r="Q490" s="173"/>
      <c r="R490" s="173"/>
    </row>
    <row r="491" ht="15.75" customHeight="1">
      <c r="B491" s="173"/>
      <c r="E491" s="173"/>
      <c r="Q491" s="173"/>
      <c r="R491" s="173"/>
    </row>
    <row r="492" ht="15.75" customHeight="1">
      <c r="B492" s="173"/>
      <c r="E492" s="173"/>
      <c r="Q492" s="173"/>
      <c r="R492" s="173"/>
    </row>
    <row r="493" ht="15.75" customHeight="1">
      <c r="B493" s="173"/>
      <c r="E493" s="173"/>
      <c r="Q493" s="173"/>
      <c r="R493" s="173"/>
    </row>
    <row r="494" ht="15.75" customHeight="1">
      <c r="B494" s="173"/>
      <c r="E494" s="173"/>
      <c r="Q494" s="173"/>
      <c r="R494" s="173"/>
    </row>
    <row r="495" ht="15.75" customHeight="1">
      <c r="B495" s="173"/>
      <c r="E495" s="173"/>
      <c r="Q495" s="173"/>
      <c r="R495" s="173"/>
    </row>
    <row r="496" ht="15.75" customHeight="1">
      <c r="B496" s="173"/>
      <c r="E496" s="173"/>
      <c r="Q496" s="173"/>
      <c r="R496" s="173"/>
    </row>
    <row r="497" ht="15.75" customHeight="1">
      <c r="B497" s="173"/>
      <c r="E497" s="173"/>
      <c r="Q497" s="173"/>
      <c r="R497" s="173"/>
    </row>
    <row r="498" ht="15.75" customHeight="1">
      <c r="B498" s="173"/>
      <c r="E498" s="173"/>
      <c r="Q498" s="173"/>
      <c r="R498" s="173"/>
    </row>
    <row r="499" ht="15.75" customHeight="1">
      <c r="B499" s="173"/>
      <c r="E499" s="173"/>
      <c r="Q499" s="173"/>
      <c r="R499" s="173"/>
    </row>
    <row r="500" ht="15.75" customHeight="1">
      <c r="B500" s="173"/>
      <c r="E500" s="173"/>
      <c r="Q500" s="173"/>
      <c r="R500" s="173"/>
    </row>
    <row r="501" ht="15.75" customHeight="1">
      <c r="B501" s="173"/>
      <c r="E501" s="173"/>
      <c r="Q501" s="173"/>
      <c r="R501" s="173"/>
    </row>
    <row r="502" ht="15.75" customHeight="1">
      <c r="B502" s="173"/>
      <c r="E502" s="173"/>
      <c r="Q502" s="173"/>
      <c r="R502" s="173"/>
    </row>
    <row r="503" ht="15.75" customHeight="1">
      <c r="B503" s="173"/>
      <c r="E503" s="173"/>
      <c r="Q503" s="173"/>
      <c r="R503" s="173"/>
    </row>
    <row r="504" ht="15.75" customHeight="1">
      <c r="B504" s="173"/>
      <c r="E504" s="173"/>
      <c r="Q504" s="173"/>
      <c r="R504" s="173"/>
    </row>
    <row r="505" ht="15.75" customHeight="1">
      <c r="B505" s="173"/>
      <c r="E505" s="173"/>
      <c r="Q505" s="173"/>
      <c r="R505" s="173"/>
    </row>
    <row r="506" ht="15.75" customHeight="1">
      <c r="B506" s="173"/>
      <c r="E506" s="173"/>
      <c r="Q506" s="173"/>
      <c r="R506" s="173"/>
    </row>
    <row r="507" ht="15.75" customHeight="1">
      <c r="B507" s="173"/>
      <c r="E507" s="173"/>
      <c r="Q507" s="173"/>
      <c r="R507" s="173"/>
    </row>
    <row r="508" ht="15.75" customHeight="1">
      <c r="B508" s="173"/>
      <c r="E508" s="173"/>
      <c r="Q508" s="173"/>
      <c r="R508" s="173"/>
    </row>
    <row r="509" ht="15.75" customHeight="1">
      <c r="B509" s="173"/>
      <c r="E509" s="173"/>
      <c r="Q509" s="173"/>
      <c r="R509" s="173"/>
    </row>
    <row r="510" ht="15.75" customHeight="1">
      <c r="B510" s="173"/>
      <c r="E510" s="173"/>
      <c r="Q510" s="173"/>
      <c r="R510" s="173"/>
    </row>
    <row r="511" ht="15.75" customHeight="1">
      <c r="B511" s="173"/>
      <c r="E511" s="173"/>
      <c r="Q511" s="173"/>
      <c r="R511" s="173"/>
    </row>
    <row r="512" ht="15.75" customHeight="1">
      <c r="B512" s="173"/>
      <c r="E512" s="173"/>
      <c r="Q512" s="173"/>
      <c r="R512" s="173"/>
    </row>
    <row r="513" ht="15.75" customHeight="1">
      <c r="B513" s="173"/>
      <c r="E513" s="173"/>
      <c r="Q513" s="173"/>
      <c r="R513" s="173"/>
    </row>
    <row r="514" ht="15.75" customHeight="1">
      <c r="B514" s="173"/>
      <c r="E514" s="173"/>
      <c r="Q514" s="173"/>
      <c r="R514" s="173"/>
    </row>
    <row r="515" ht="15.75" customHeight="1">
      <c r="B515" s="173"/>
      <c r="E515" s="173"/>
      <c r="Q515" s="173"/>
      <c r="R515" s="173"/>
    </row>
    <row r="516" ht="15.75" customHeight="1">
      <c r="B516" s="173"/>
      <c r="E516" s="173"/>
      <c r="Q516" s="173"/>
      <c r="R516" s="173"/>
    </row>
    <row r="517" ht="15.75" customHeight="1">
      <c r="B517" s="173"/>
      <c r="E517" s="173"/>
      <c r="Q517" s="173"/>
      <c r="R517" s="173"/>
    </row>
    <row r="518" ht="15.75" customHeight="1">
      <c r="B518" s="173"/>
      <c r="E518" s="173"/>
      <c r="Q518" s="173"/>
      <c r="R518" s="173"/>
    </row>
    <row r="519" ht="15.75" customHeight="1">
      <c r="B519" s="173"/>
      <c r="E519" s="173"/>
      <c r="Q519" s="173"/>
      <c r="R519" s="173"/>
    </row>
    <row r="520" ht="15.75" customHeight="1">
      <c r="B520" s="173"/>
      <c r="E520" s="173"/>
      <c r="Q520" s="173"/>
      <c r="R520" s="173"/>
    </row>
    <row r="521" ht="15.75" customHeight="1">
      <c r="B521" s="173"/>
      <c r="E521" s="173"/>
      <c r="Q521" s="173"/>
      <c r="R521" s="173"/>
    </row>
    <row r="522" ht="15.75" customHeight="1">
      <c r="B522" s="173"/>
      <c r="E522" s="173"/>
      <c r="Q522" s="173"/>
      <c r="R522" s="173"/>
    </row>
    <row r="523" ht="15.75" customHeight="1">
      <c r="B523" s="173"/>
      <c r="E523" s="173"/>
      <c r="Q523" s="173"/>
      <c r="R523" s="173"/>
    </row>
    <row r="524" ht="15.75" customHeight="1">
      <c r="B524" s="173"/>
      <c r="E524" s="173"/>
      <c r="Q524" s="173"/>
      <c r="R524" s="173"/>
    </row>
    <row r="525" ht="15.75" customHeight="1">
      <c r="B525" s="173"/>
      <c r="E525" s="173"/>
      <c r="Q525" s="173"/>
      <c r="R525" s="173"/>
    </row>
    <row r="526" ht="15.75" customHeight="1">
      <c r="B526" s="173"/>
      <c r="E526" s="173"/>
      <c r="Q526" s="173"/>
      <c r="R526" s="173"/>
    </row>
    <row r="527" ht="15.75" customHeight="1">
      <c r="B527" s="173"/>
      <c r="E527" s="173"/>
      <c r="Q527" s="173"/>
      <c r="R527" s="173"/>
    </row>
    <row r="528" ht="15.75" customHeight="1">
      <c r="B528" s="173"/>
      <c r="E528" s="173"/>
      <c r="Q528" s="173"/>
      <c r="R528" s="173"/>
    </row>
    <row r="529" ht="15.75" customHeight="1">
      <c r="B529" s="173"/>
      <c r="E529" s="173"/>
      <c r="Q529" s="173"/>
      <c r="R529" s="173"/>
    </row>
    <row r="530" ht="15.75" customHeight="1">
      <c r="B530" s="173"/>
      <c r="E530" s="173"/>
      <c r="Q530" s="173"/>
      <c r="R530" s="173"/>
    </row>
    <row r="531" ht="15.75" customHeight="1">
      <c r="B531" s="173"/>
      <c r="E531" s="173"/>
      <c r="Q531" s="173"/>
      <c r="R531" s="173"/>
    </row>
    <row r="532" ht="15.75" customHeight="1">
      <c r="B532" s="173"/>
      <c r="E532" s="173"/>
      <c r="Q532" s="173"/>
      <c r="R532" s="173"/>
    </row>
    <row r="533" ht="15.75" customHeight="1">
      <c r="B533" s="173"/>
      <c r="E533" s="173"/>
      <c r="Q533" s="173"/>
      <c r="R533" s="173"/>
    </row>
    <row r="534" ht="15.75" customHeight="1">
      <c r="B534" s="173"/>
      <c r="E534" s="173"/>
      <c r="Q534" s="173"/>
      <c r="R534" s="173"/>
    </row>
    <row r="535" ht="15.75" customHeight="1">
      <c r="B535" s="173"/>
      <c r="E535" s="173"/>
      <c r="Q535" s="173"/>
      <c r="R535" s="173"/>
    </row>
    <row r="536" ht="15.75" customHeight="1">
      <c r="B536" s="173"/>
      <c r="E536" s="173"/>
      <c r="Q536" s="173"/>
      <c r="R536" s="173"/>
    </row>
    <row r="537" ht="15.75" customHeight="1">
      <c r="B537" s="173"/>
      <c r="E537" s="173"/>
      <c r="Q537" s="173"/>
      <c r="R537" s="173"/>
    </row>
    <row r="538" ht="15.75" customHeight="1">
      <c r="B538" s="173"/>
      <c r="E538" s="173"/>
      <c r="Q538" s="173"/>
      <c r="R538" s="173"/>
    </row>
    <row r="539" ht="15.75" customHeight="1">
      <c r="B539" s="173"/>
      <c r="E539" s="173"/>
      <c r="Q539" s="173"/>
      <c r="R539" s="173"/>
    </row>
    <row r="540" ht="15.75" customHeight="1">
      <c r="B540" s="173"/>
      <c r="E540" s="173"/>
      <c r="Q540" s="173"/>
      <c r="R540" s="173"/>
    </row>
    <row r="541" ht="15.75" customHeight="1">
      <c r="B541" s="173"/>
      <c r="E541" s="173"/>
      <c r="Q541" s="173"/>
      <c r="R541" s="173"/>
    </row>
    <row r="542" ht="15.75" customHeight="1">
      <c r="B542" s="173"/>
      <c r="E542" s="173"/>
      <c r="Q542" s="173"/>
      <c r="R542" s="173"/>
    </row>
    <row r="543" ht="15.75" customHeight="1">
      <c r="B543" s="173"/>
      <c r="E543" s="173"/>
      <c r="Q543" s="173"/>
      <c r="R543" s="173"/>
    </row>
    <row r="544" ht="15.75" customHeight="1">
      <c r="B544" s="173"/>
      <c r="E544" s="173"/>
      <c r="Q544" s="173"/>
      <c r="R544" s="173"/>
    </row>
    <row r="545" ht="15.75" customHeight="1">
      <c r="B545" s="173"/>
      <c r="E545" s="173"/>
      <c r="Q545" s="173"/>
      <c r="R545" s="173"/>
    </row>
    <row r="546" ht="15.75" customHeight="1">
      <c r="B546" s="173"/>
      <c r="E546" s="173"/>
      <c r="Q546" s="173"/>
      <c r="R546" s="173"/>
    </row>
    <row r="547" ht="15.75" customHeight="1">
      <c r="B547" s="173"/>
      <c r="E547" s="173"/>
      <c r="Q547" s="173"/>
      <c r="R547" s="173"/>
    </row>
    <row r="548" ht="15.75" customHeight="1">
      <c r="B548" s="173"/>
      <c r="E548" s="173"/>
      <c r="Q548" s="173"/>
      <c r="R548" s="173"/>
    </row>
    <row r="549" ht="15.75" customHeight="1">
      <c r="B549" s="173"/>
      <c r="E549" s="173"/>
      <c r="Q549" s="173"/>
      <c r="R549" s="173"/>
    </row>
    <row r="550" ht="15.75" customHeight="1">
      <c r="B550" s="173"/>
      <c r="E550" s="173"/>
      <c r="Q550" s="173"/>
      <c r="R550" s="173"/>
    </row>
    <row r="551" ht="15.75" customHeight="1">
      <c r="B551" s="173"/>
      <c r="E551" s="173"/>
      <c r="Q551" s="173"/>
      <c r="R551" s="173"/>
    </row>
    <row r="552" ht="15.75" customHeight="1">
      <c r="B552" s="173"/>
      <c r="E552" s="173"/>
      <c r="Q552" s="173"/>
      <c r="R552" s="173"/>
    </row>
    <row r="553" ht="15.75" customHeight="1">
      <c r="B553" s="173"/>
      <c r="E553" s="173"/>
      <c r="Q553" s="173"/>
      <c r="R553" s="173"/>
    </row>
    <row r="554" ht="15.75" customHeight="1">
      <c r="B554" s="173"/>
      <c r="E554" s="173"/>
      <c r="Q554" s="173"/>
      <c r="R554" s="173"/>
    </row>
    <row r="555" ht="15.75" customHeight="1">
      <c r="B555" s="173"/>
      <c r="E555" s="173"/>
      <c r="Q555" s="173"/>
      <c r="R555" s="173"/>
    </row>
    <row r="556" ht="15.75" customHeight="1">
      <c r="B556" s="173"/>
      <c r="E556" s="173"/>
      <c r="Q556" s="173"/>
      <c r="R556" s="173"/>
    </row>
    <row r="557" ht="15.75" customHeight="1">
      <c r="B557" s="173"/>
      <c r="E557" s="173"/>
      <c r="Q557" s="173"/>
      <c r="R557" s="173"/>
    </row>
    <row r="558" ht="15.75" customHeight="1">
      <c r="B558" s="173"/>
      <c r="E558" s="173"/>
      <c r="Q558" s="173"/>
      <c r="R558" s="173"/>
    </row>
    <row r="559" ht="15.75" customHeight="1">
      <c r="B559" s="173"/>
      <c r="E559" s="173"/>
      <c r="Q559" s="173"/>
      <c r="R559" s="173"/>
    </row>
    <row r="560" ht="15.75" customHeight="1">
      <c r="B560" s="173"/>
      <c r="E560" s="173"/>
      <c r="Q560" s="173"/>
      <c r="R560" s="173"/>
    </row>
    <row r="561" ht="15.75" customHeight="1">
      <c r="B561" s="173"/>
      <c r="E561" s="173"/>
      <c r="Q561" s="173"/>
      <c r="R561" s="173"/>
    </row>
    <row r="562" ht="15.75" customHeight="1">
      <c r="B562" s="173"/>
      <c r="E562" s="173"/>
      <c r="Q562" s="173"/>
      <c r="R562" s="173"/>
    </row>
    <row r="563" ht="15.75" customHeight="1">
      <c r="B563" s="173"/>
      <c r="E563" s="173"/>
      <c r="Q563" s="173"/>
      <c r="R563" s="173"/>
    </row>
    <row r="564" ht="15.75" customHeight="1">
      <c r="B564" s="173"/>
      <c r="E564" s="173"/>
      <c r="Q564" s="173"/>
      <c r="R564" s="173"/>
    </row>
    <row r="565" ht="15.75" customHeight="1">
      <c r="B565" s="173"/>
      <c r="E565" s="173"/>
      <c r="Q565" s="173"/>
      <c r="R565" s="173"/>
    </row>
    <row r="566" ht="15.75" customHeight="1">
      <c r="B566" s="173"/>
      <c r="E566" s="173"/>
      <c r="Q566" s="173"/>
      <c r="R566" s="173"/>
    </row>
    <row r="567" ht="15.75" customHeight="1">
      <c r="B567" s="173"/>
      <c r="E567" s="173"/>
      <c r="Q567" s="173"/>
      <c r="R567" s="173"/>
    </row>
    <row r="568" ht="15.75" customHeight="1">
      <c r="B568" s="173"/>
      <c r="E568" s="173"/>
      <c r="Q568" s="173"/>
      <c r="R568" s="173"/>
    </row>
    <row r="569" ht="15.75" customHeight="1">
      <c r="B569" s="173"/>
      <c r="E569" s="173"/>
      <c r="Q569" s="173"/>
      <c r="R569" s="173"/>
    </row>
    <row r="570" ht="15.75" customHeight="1">
      <c r="B570" s="173"/>
      <c r="E570" s="173"/>
      <c r="Q570" s="173"/>
      <c r="R570" s="173"/>
    </row>
    <row r="571" ht="15.75" customHeight="1">
      <c r="B571" s="173"/>
      <c r="E571" s="173"/>
      <c r="Q571" s="173"/>
      <c r="R571" s="173"/>
    </row>
    <row r="572" ht="15.75" customHeight="1">
      <c r="B572" s="173"/>
      <c r="E572" s="173"/>
      <c r="Q572" s="173"/>
      <c r="R572" s="173"/>
    </row>
    <row r="573" ht="15.75" customHeight="1">
      <c r="B573" s="173"/>
      <c r="E573" s="173"/>
      <c r="Q573" s="173"/>
      <c r="R573" s="173"/>
    </row>
    <row r="574" ht="15.75" customHeight="1">
      <c r="B574" s="173"/>
      <c r="E574" s="173"/>
      <c r="Q574" s="173"/>
      <c r="R574" s="173"/>
    </row>
    <row r="575" ht="15.75" customHeight="1">
      <c r="B575" s="173"/>
      <c r="E575" s="173"/>
      <c r="Q575" s="173"/>
      <c r="R575" s="173"/>
    </row>
    <row r="576" ht="15.75" customHeight="1">
      <c r="B576" s="173"/>
      <c r="E576" s="173"/>
      <c r="Q576" s="173"/>
      <c r="R576" s="173"/>
    </row>
    <row r="577" ht="15.75" customHeight="1">
      <c r="B577" s="173"/>
      <c r="E577" s="173"/>
      <c r="Q577" s="173"/>
      <c r="R577" s="173"/>
    </row>
    <row r="578" ht="15.75" customHeight="1">
      <c r="B578" s="173"/>
      <c r="E578" s="173"/>
      <c r="Q578" s="173"/>
      <c r="R578" s="173"/>
    </row>
    <row r="579" ht="15.75" customHeight="1">
      <c r="B579" s="173"/>
      <c r="E579" s="173"/>
      <c r="Q579" s="173"/>
      <c r="R579" s="173"/>
    </row>
    <row r="580" ht="15.75" customHeight="1">
      <c r="B580" s="173"/>
      <c r="E580" s="173"/>
      <c r="Q580" s="173"/>
      <c r="R580" s="173"/>
    </row>
    <row r="581" ht="15.75" customHeight="1">
      <c r="B581" s="173"/>
      <c r="E581" s="173"/>
      <c r="Q581" s="173"/>
      <c r="R581" s="173"/>
    </row>
    <row r="582" ht="15.75" customHeight="1">
      <c r="B582" s="173"/>
      <c r="E582" s="173"/>
      <c r="Q582" s="173"/>
      <c r="R582" s="173"/>
    </row>
    <row r="583" ht="15.75" customHeight="1">
      <c r="B583" s="173"/>
      <c r="E583" s="173"/>
      <c r="Q583" s="173"/>
      <c r="R583" s="173"/>
    </row>
    <row r="584" ht="15.75" customHeight="1">
      <c r="B584" s="173"/>
      <c r="E584" s="173"/>
      <c r="Q584" s="173"/>
      <c r="R584" s="173"/>
    </row>
    <row r="585" ht="15.75" customHeight="1">
      <c r="B585" s="173"/>
      <c r="E585" s="173"/>
      <c r="Q585" s="173"/>
      <c r="R585" s="173"/>
    </row>
    <row r="586" ht="15.75" customHeight="1">
      <c r="B586" s="173"/>
      <c r="E586" s="173"/>
      <c r="Q586" s="173"/>
      <c r="R586" s="173"/>
    </row>
    <row r="587" ht="15.75" customHeight="1">
      <c r="B587" s="173"/>
      <c r="E587" s="173"/>
      <c r="Q587" s="173"/>
      <c r="R587" s="173"/>
    </row>
    <row r="588" ht="15.75" customHeight="1">
      <c r="B588" s="173"/>
      <c r="E588" s="173"/>
      <c r="Q588" s="173"/>
      <c r="R588" s="173"/>
    </row>
    <row r="589" ht="15.75" customHeight="1">
      <c r="B589" s="173"/>
      <c r="E589" s="173"/>
      <c r="Q589" s="173"/>
      <c r="R589" s="173"/>
    </row>
    <row r="590" ht="15.75" customHeight="1">
      <c r="B590" s="173"/>
      <c r="E590" s="173"/>
      <c r="Q590" s="173"/>
      <c r="R590" s="173"/>
    </row>
    <row r="591" ht="15.75" customHeight="1">
      <c r="B591" s="173"/>
      <c r="E591" s="173"/>
      <c r="Q591" s="173"/>
      <c r="R591" s="173"/>
    </row>
    <row r="592" ht="15.75" customHeight="1">
      <c r="B592" s="173"/>
      <c r="E592" s="173"/>
      <c r="Q592" s="173"/>
      <c r="R592" s="173"/>
    </row>
    <row r="593" ht="15.75" customHeight="1">
      <c r="B593" s="173"/>
      <c r="E593" s="173"/>
      <c r="Q593" s="173"/>
      <c r="R593" s="173"/>
    </row>
    <row r="594" ht="15.75" customHeight="1">
      <c r="B594" s="173"/>
      <c r="E594" s="173"/>
      <c r="Q594" s="173"/>
      <c r="R594" s="173"/>
    </row>
    <row r="595" ht="15.75" customHeight="1">
      <c r="B595" s="173"/>
      <c r="E595" s="173"/>
      <c r="Q595" s="173"/>
      <c r="R595" s="173"/>
    </row>
    <row r="596" ht="15.75" customHeight="1">
      <c r="B596" s="173"/>
      <c r="E596" s="173"/>
      <c r="Q596" s="173"/>
      <c r="R596" s="173"/>
    </row>
    <row r="597" ht="15.75" customHeight="1">
      <c r="B597" s="173"/>
      <c r="E597" s="173"/>
      <c r="Q597" s="173"/>
      <c r="R597" s="173"/>
    </row>
    <row r="598" ht="15.75" customHeight="1">
      <c r="B598" s="173"/>
      <c r="E598" s="173"/>
      <c r="Q598" s="173"/>
      <c r="R598" s="173"/>
    </row>
    <row r="599" ht="15.75" customHeight="1">
      <c r="B599" s="173"/>
      <c r="E599" s="173"/>
      <c r="Q599" s="173"/>
      <c r="R599" s="173"/>
    </row>
    <row r="600" ht="15.75" customHeight="1">
      <c r="B600" s="173"/>
      <c r="E600" s="173"/>
      <c r="Q600" s="173"/>
      <c r="R600" s="173"/>
    </row>
    <row r="601" ht="15.75" customHeight="1">
      <c r="B601" s="173"/>
      <c r="E601" s="173"/>
      <c r="Q601" s="173"/>
      <c r="R601" s="173"/>
    </row>
    <row r="602" ht="15.75" customHeight="1">
      <c r="B602" s="173"/>
      <c r="E602" s="173"/>
      <c r="Q602" s="173"/>
      <c r="R602" s="173"/>
    </row>
    <row r="603" ht="15.75" customHeight="1">
      <c r="B603" s="173"/>
      <c r="E603" s="173"/>
      <c r="Q603" s="173"/>
      <c r="R603" s="173"/>
    </row>
    <row r="604" ht="15.75" customHeight="1">
      <c r="B604" s="173"/>
      <c r="E604" s="173"/>
      <c r="Q604" s="173"/>
      <c r="R604" s="173"/>
    </row>
    <row r="605" ht="15.75" customHeight="1">
      <c r="B605" s="173"/>
      <c r="E605" s="173"/>
      <c r="Q605" s="173"/>
      <c r="R605" s="173"/>
    </row>
    <row r="606" ht="15.75" customHeight="1">
      <c r="B606" s="173"/>
      <c r="E606" s="173"/>
      <c r="Q606" s="173"/>
      <c r="R606" s="173"/>
    </row>
    <row r="607" ht="15.75" customHeight="1">
      <c r="B607" s="173"/>
      <c r="E607" s="173"/>
      <c r="Q607" s="173"/>
      <c r="R607" s="173"/>
    </row>
    <row r="608" ht="15.75" customHeight="1">
      <c r="B608" s="173"/>
      <c r="E608" s="173"/>
      <c r="Q608" s="173"/>
      <c r="R608" s="173"/>
    </row>
    <row r="609" ht="15.75" customHeight="1">
      <c r="B609" s="173"/>
      <c r="E609" s="173"/>
      <c r="Q609" s="173"/>
      <c r="R609" s="173"/>
    </row>
    <row r="610" ht="15.75" customHeight="1">
      <c r="B610" s="173"/>
      <c r="E610" s="173"/>
      <c r="Q610" s="173"/>
      <c r="R610" s="173"/>
    </row>
    <row r="611" ht="15.75" customHeight="1">
      <c r="B611" s="173"/>
      <c r="E611" s="173"/>
      <c r="Q611" s="173"/>
      <c r="R611" s="173"/>
    </row>
    <row r="612" ht="15.75" customHeight="1">
      <c r="B612" s="173"/>
      <c r="E612" s="173"/>
      <c r="Q612" s="173"/>
      <c r="R612" s="173"/>
    </row>
    <row r="613" ht="15.75" customHeight="1">
      <c r="B613" s="173"/>
      <c r="E613" s="173"/>
      <c r="Q613" s="173"/>
      <c r="R613" s="173"/>
    </row>
    <row r="614" ht="15.75" customHeight="1">
      <c r="B614" s="173"/>
      <c r="E614" s="173"/>
      <c r="Q614" s="173"/>
      <c r="R614" s="173"/>
    </row>
    <row r="615" ht="15.75" customHeight="1">
      <c r="B615" s="173"/>
      <c r="E615" s="173"/>
      <c r="Q615" s="173"/>
      <c r="R615" s="173"/>
    </row>
    <row r="616" ht="15.75" customHeight="1">
      <c r="B616" s="173"/>
      <c r="E616" s="173"/>
      <c r="Q616" s="173"/>
      <c r="R616" s="173"/>
    </row>
    <row r="617" ht="15.75" customHeight="1">
      <c r="B617" s="173"/>
      <c r="E617" s="173"/>
      <c r="Q617" s="173"/>
      <c r="R617" s="173"/>
    </row>
    <row r="618" ht="15.75" customHeight="1">
      <c r="B618" s="173"/>
      <c r="E618" s="173"/>
      <c r="Q618" s="173"/>
      <c r="R618" s="173"/>
    </row>
    <row r="619" ht="15.75" customHeight="1">
      <c r="B619" s="173"/>
      <c r="E619" s="173"/>
      <c r="Q619" s="173"/>
      <c r="R619" s="173"/>
    </row>
    <row r="620" ht="15.75" customHeight="1">
      <c r="B620" s="173"/>
      <c r="E620" s="173"/>
      <c r="Q620" s="173"/>
      <c r="R620" s="173"/>
    </row>
    <row r="621" ht="15.75" customHeight="1">
      <c r="B621" s="173"/>
      <c r="E621" s="173"/>
      <c r="Q621" s="173"/>
      <c r="R621" s="173"/>
    </row>
    <row r="622" ht="15.75" customHeight="1">
      <c r="B622" s="173"/>
      <c r="E622" s="173"/>
      <c r="Q622" s="173"/>
      <c r="R622" s="173"/>
    </row>
    <row r="623" ht="15.75" customHeight="1">
      <c r="B623" s="173"/>
      <c r="E623" s="173"/>
      <c r="Q623" s="173"/>
      <c r="R623" s="173"/>
    </row>
    <row r="624" ht="15.75" customHeight="1">
      <c r="B624" s="173"/>
      <c r="E624" s="173"/>
      <c r="Q624" s="173"/>
      <c r="R624" s="173"/>
    </row>
    <row r="625" ht="15.75" customHeight="1">
      <c r="B625" s="173"/>
      <c r="E625" s="173"/>
      <c r="Q625" s="173"/>
      <c r="R625" s="173"/>
    </row>
    <row r="626" ht="15.75" customHeight="1">
      <c r="B626" s="173"/>
      <c r="E626" s="173"/>
      <c r="Q626" s="173"/>
      <c r="R626" s="173"/>
    </row>
    <row r="627" ht="15.75" customHeight="1">
      <c r="B627" s="173"/>
      <c r="E627" s="173"/>
      <c r="Q627" s="173"/>
      <c r="R627" s="173"/>
    </row>
    <row r="628" ht="15.75" customHeight="1">
      <c r="B628" s="173"/>
      <c r="E628" s="173"/>
      <c r="Q628" s="173"/>
      <c r="R628" s="173"/>
    </row>
    <row r="629" ht="15.75" customHeight="1">
      <c r="B629" s="173"/>
      <c r="E629" s="173"/>
      <c r="Q629" s="173"/>
      <c r="R629" s="173"/>
    </row>
    <row r="630" ht="15.75" customHeight="1">
      <c r="B630" s="173"/>
      <c r="E630" s="173"/>
      <c r="Q630" s="173"/>
      <c r="R630" s="173"/>
    </row>
    <row r="631" ht="15.75" customHeight="1">
      <c r="B631" s="173"/>
      <c r="E631" s="173"/>
      <c r="Q631" s="173"/>
      <c r="R631" s="173"/>
    </row>
    <row r="632" ht="15.75" customHeight="1">
      <c r="B632" s="173"/>
      <c r="E632" s="173"/>
      <c r="Q632" s="173"/>
      <c r="R632" s="173"/>
    </row>
    <row r="633" ht="15.75" customHeight="1">
      <c r="B633" s="173"/>
      <c r="E633" s="173"/>
      <c r="Q633" s="173"/>
      <c r="R633" s="173"/>
    </row>
    <row r="634" ht="15.75" customHeight="1">
      <c r="B634" s="173"/>
      <c r="E634" s="173"/>
      <c r="Q634" s="173"/>
      <c r="R634" s="173"/>
    </row>
    <row r="635" ht="15.75" customHeight="1">
      <c r="B635" s="173"/>
      <c r="E635" s="173"/>
      <c r="Q635" s="173"/>
      <c r="R635" s="173"/>
    </row>
    <row r="636" ht="15.75" customHeight="1">
      <c r="B636" s="173"/>
      <c r="E636" s="173"/>
      <c r="Q636" s="173"/>
      <c r="R636" s="173"/>
    </row>
    <row r="637" ht="15.75" customHeight="1">
      <c r="B637" s="173"/>
      <c r="E637" s="173"/>
      <c r="Q637" s="173"/>
      <c r="R637" s="173"/>
    </row>
    <row r="638" ht="15.75" customHeight="1">
      <c r="B638" s="173"/>
      <c r="E638" s="173"/>
      <c r="Q638" s="173"/>
      <c r="R638" s="173"/>
    </row>
    <row r="639" ht="15.75" customHeight="1">
      <c r="B639" s="173"/>
      <c r="E639" s="173"/>
      <c r="Q639" s="173"/>
      <c r="R639" s="173"/>
    </row>
    <row r="640" ht="15.75" customHeight="1">
      <c r="B640" s="173"/>
      <c r="E640" s="173"/>
      <c r="Q640" s="173"/>
      <c r="R640" s="173"/>
    </row>
    <row r="641" ht="15.75" customHeight="1">
      <c r="B641" s="173"/>
      <c r="E641" s="173"/>
      <c r="Q641" s="173"/>
      <c r="R641" s="173"/>
    </row>
    <row r="642" ht="15.75" customHeight="1">
      <c r="B642" s="173"/>
      <c r="E642" s="173"/>
      <c r="Q642" s="173"/>
      <c r="R642" s="173"/>
    </row>
    <row r="643" ht="15.75" customHeight="1">
      <c r="B643" s="173"/>
      <c r="E643" s="173"/>
      <c r="Q643" s="173"/>
      <c r="R643" s="173"/>
    </row>
    <row r="644" ht="15.75" customHeight="1">
      <c r="B644" s="173"/>
      <c r="E644" s="173"/>
      <c r="Q644" s="173"/>
      <c r="R644" s="173"/>
    </row>
    <row r="645" ht="15.75" customHeight="1">
      <c r="B645" s="173"/>
      <c r="E645" s="173"/>
      <c r="Q645" s="173"/>
      <c r="R645" s="173"/>
    </row>
    <row r="646" ht="15.75" customHeight="1">
      <c r="B646" s="173"/>
      <c r="E646" s="173"/>
      <c r="Q646" s="173"/>
      <c r="R646" s="173"/>
    </row>
    <row r="647" ht="15.75" customHeight="1">
      <c r="B647" s="173"/>
      <c r="E647" s="173"/>
      <c r="Q647" s="173"/>
      <c r="R647" s="173"/>
    </row>
    <row r="648" ht="15.75" customHeight="1">
      <c r="B648" s="173"/>
      <c r="E648" s="173"/>
      <c r="Q648" s="173"/>
      <c r="R648" s="173"/>
    </row>
    <row r="649" ht="15.75" customHeight="1">
      <c r="B649" s="173"/>
      <c r="E649" s="173"/>
      <c r="Q649" s="173"/>
      <c r="R649" s="173"/>
    </row>
    <row r="650" ht="15.75" customHeight="1">
      <c r="B650" s="173"/>
      <c r="E650" s="173"/>
      <c r="Q650" s="173"/>
      <c r="R650" s="173"/>
    </row>
    <row r="651" ht="15.75" customHeight="1">
      <c r="B651" s="173"/>
      <c r="E651" s="173"/>
      <c r="Q651" s="173"/>
      <c r="R651" s="173"/>
    </row>
    <row r="652" ht="15.75" customHeight="1">
      <c r="B652" s="173"/>
      <c r="E652" s="173"/>
      <c r="Q652" s="173"/>
      <c r="R652" s="173"/>
    </row>
    <row r="653" ht="15.75" customHeight="1">
      <c r="B653" s="173"/>
      <c r="E653" s="173"/>
      <c r="Q653" s="173"/>
      <c r="R653" s="173"/>
    </row>
    <row r="654" ht="15.75" customHeight="1">
      <c r="B654" s="173"/>
      <c r="E654" s="173"/>
      <c r="Q654" s="173"/>
      <c r="R654" s="173"/>
    </row>
    <row r="655" ht="15.75" customHeight="1">
      <c r="B655" s="173"/>
      <c r="E655" s="173"/>
      <c r="Q655" s="173"/>
      <c r="R655" s="173"/>
    </row>
    <row r="656" ht="15.75" customHeight="1">
      <c r="B656" s="173"/>
      <c r="E656" s="173"/>
      <c r="Q656" s="173"/>
      <c r="R656" s="173"/>
    </row>
    <row r="657" ht="15.75" customHeight="1">
      <c r="B657" s="173"/>
      <c r="E657" s="173"/>
      <c r="Q657" s="173"/>
      <c r="R657" s="173"/>
    </row>
    <row r="658" ht="15.75" customHeight="1">
      <c r="B658" s="173"/>
      <c r="E658" s="173"/>
      <c r="Q658" s="173"/>
      <c r="R658" s="173"/>
    </row>
    <row r="659" ht="15.75" customHeight="1">
      <c r="B659" s="173"/>
      <c r="E659" s="173"/>
      <c r="Q659" s="173"/>
      <c r="R659" s="173"/>
    </row>
    <row r="660" ht="15.75" customHeight="1">
      <c r="B660" s="173"/>
      <c r="E660" s="173"/>
      <c r="Q660" s="173"/>
      <c r="R660" s="173"/>
    </row>
    <row r="661" ht="15.75" customHeight="1">
      <c r="B661" s="173"/>
      <c r="E661" s="173"/>
      <c r="Q661" s="173"/>
      <c r="R661" s="173"/>
    </row>
    <row r="662" ht="15.75" customHeight="1">
      <c r="B662" s="173"/>
      <c r="E662" s="173"/>
      <c r="Q662" s="173"/>
      <c r="R662" s="173"/>
    </row>
    <row r="663" ht="15.75" customHeight="1">
      <c r="B663" s="173"/>
      <c r="E663" s="173"/>
      <c r="Q663" s="173"/>
      <c r="R663" s="173"/>
    </row>
    <row r="664" ht="15.75" customHeight="1">
      <c r="B664" s="173"/>
      <c r="E664" s="173"/>
      <c r="Q664" s="173"/>
      <c r="R664" s="173"/>
    </row>
    <row r="665" ht="15.75" customHeight="1">
      <c r="B665" s="173"/>
      <c r="E665" s="173"/>
      <c r="Q665" s="173"/>
      <c r="R665" s="173"/>
    </row>
    <row r="666" ht="15.75" customHeight="1">
      <c r="B666" s="173"/>
      <c r="E666" s="173"/>
      <c r="Q666" s="173"/>
      <c r="R666" s="173"/>
    </row>
    <row r="667" ht="15.75" customHeight="1">
      <c r="B667" s="173"/>
      <c r="E667" s="173"/>
      <c r="Q667" s="173"/>
      <c r="R667" s="173"/>
    </row>
    <row r="668" ht="15.75" customHeight="1">
      <c r="B668" s="173"/>
      <c r="E668" s="173"/>
      <c r="Q668" s="173"/>
      <c r="R668" s="173"/>
    </row>
    <row r="669" ht="15.75" customHeight="1">
      <c r="B669" s="173"/>
      <c r="E669" s="173"/>
      <c r="Q669" s="173"/>
      <c r="R669" s="173"/>
    </row>
    <row r="670" ht="15.75" customHeight="1">
      <c r="B670" s="173"/>
      <c r="E670" s="173"/>
      <c r="Q670" s="173"/>
      <c r="R670" s="173"/>
    </row>
    <row r="671" ht="15.75" customHeight="1">
      <c r="B671" s="173"/>
      <c r="E671" s="173"/>
      <c r="Q671" s="173"/>
      <c r="R671" s="173"/>
    </row>
    <row r="672" ht="15.75" customHeight="1">
      <c r="B672" s="173"/>
      <c r="E672" s="173"/>
      <c r="Q672" s="173"/>
      <c r="R672" s="173"/>
    </row>
    <row r="673" ht="15.75" customHeight="1">
      <c r="B673" s="173"/>
      <c r="E673" s="173"/>
      <c r="Q673" s="173"/>
      <c r="R673" s="173"/>
    </row>
    <row r="674" ht="15.75" customHeight="1">
      <c r="B674" s="173"/>
      <c r="E674" s="173"/>
      <c r="Q674" s="173"/>
      <c r="R674" s="173"/>
    </row>
    <row r="675" ht="15.75" customHeight="1">
      <c r="B675" s="173"/>
      <c r="E675" s="173"/>
      <c r="Q675" s="173"/>
      <c r="R675" s="173"/>
    </row>
    <row r="676" ht="15.75" customHeight="1">
      <c r="B676" s="173"/>
      <c r="E676" s="173"/>
      <c r="Q676" s="173"/>
      <c r="R676" s="173"/>
    </row>
    <row r="677" ht="15.75" customHeight="1">
      <c r="B677" s="173"/>
      <c r="E677" s="173"/>
      <c r="Q677" s="173"/>
      <c r="R677" s="173"/>
    </row>
    <row r="678" ht="15.75" customHeight="1">
      <c r="B678" s="173"/>
      <c r="E678" s="173"/>
      <c r="Q678" s="173"/>
      <c r="R678" s="173"/>
    </row>
    <row r="679" ht="15.75" customHeight="1">
      <c r="B679" s="173"/>
      <c r="E679" s="173"/>
      <c r="Q679" s="173"/>
      <c r="R679" s="173"/>
    </row>
    <row r="680" ht="15.75" customHeight="1">
      <c r="B680" s="173"/>
      <c r="E680" s="173"/>
      <c r="Q680" s="173"/>
      <c r="R680" s="173"/>
    </row>
    <row r="681" ht="15.75" customHeight="1">
      <c r="B681" s="173"/>
      <c r="E681" s="173"/>
      <c r="Q681" s="173"/>
      <c r="R681" s="173"/>
    </row>
    <row r="682" ht="15.75" customHeight="1">
      <c r="B682" s="173"/>
      <c r="E682" s="173"/>
      <c r="Q682" s="173"/>
      <c r="R682" s="173"/>
    </row>
    <row r="683" ht="15.75" customHeight="1">
      <c r="B683" s="173"/>
      <c r="E683" s="173"/>
      <c r="Q683" s="173"/>
      <c r="R683" s="173"/>
    </row>
    <row r="684" ht="15.75" customHeight="1">
      <c r="B684" s="173"/>
      <c r="E684" s="173"/>
      <c r="Q684" s="173"/>
      <c r="R684" s="173"/>
    </row>
    <row r="685" ht="15.75" customHeight="1">
      <c r="B685" s="173"/>
      <c r="E685" s="173"/>
      <c r="Q685" s="173"/>
      <c r="R685" s="173"/>
    </row>
    <row r="686" ht="15.75" customHeight="1">
      <c r="B686" s="173"/>
      <c r="E686" s="173"/>
      <c r="Q686" s="173"/>
      <c r="R686" s="173"/>
    </row>
    <row r="687" ht="15.75" customHeight="1">
      <c r="B687" s="173"/>
      <c r="E687" s="173"/>
      <c r="Q687" s="173"/>
      <c r="R687" s="173"/>
    </row>
    <row r="688" ht="15.75" customHeight="1">
      <c r="B688" s="173"/>
      <c r="E688" s="173"/>
      <c r="Q688" s="173"/>
      <c r="R688" s="173"/>
    </row>
    <row r="689" ht="15.75" customHeight="1">
      <c r="B689" s="173"/>
      <c r="E689" s="173"/>
      <c r="Q689" s="173"/>
      <c r="R689" s="173"/>
    </row>
    <row r="690" ht="15.75" customHeight="1">
      <c r="B690" s="173"/>
      <c r="E690" s="173"/>
      <c r="Q690" s="173"/>
      <c r="R690" s="173"/>
    </row>
    <row r="691" ht="15.75" customHeight="1">
      <c r="B691" s="173"/>
      <c r="E691" s="173"/>
      <c r="Q691" s="173"/>
      <c r="R691" s="173"/>
    </row>
    <row r="692" ht="15.75" customHeight="1">
      <c r="B692" s="173"/>
      <c r="E692" s="173"/>
      <c r="Q692" s="173"/>
      <c r="R692" s="173"/>
    </row>
    <row r="693" ht="15.75" customHeight="1">
      <c r="B693" s="173"/>
      <c r="E693" s="173"/>
      <c r="Q693" s="173"/>
      <c r="R693" s="173"/>
    </row>
    <row r="694" ht="15.75" customHeight="1">
      <c r="B694" s="173"/>
      <c r="E694" s="173"/>
      <c r="Q694" s="173"/>
      <c r="R694" s="173"/>
    </row>
    <row r="695" ht="15.75" customHeight="1">
      <c r="B695" s="173"/>
      <c r="E695" s="173"/>
      <c r="Q695" s="173"/>
      <c r="R695" s="173"/>
    </row>
    <row r="696" ht="15.75" customHeight="1">
      <c r="B696" s="173"/>
      <c r="E696" s="173"/>
      <c r="Q696" s="173"/>
      <c r="R696" s="173"/>
    </row>
    <row r="697" ht="15.75" customHeight="1">
      <c r="B697" s="173"/>
      <c r="E697" s="173"/>
      <c r="Q697" s="173"/>
      <c r="R697" s="173"/>
    </row>
    <row r="698" ht="15.75" customHeight="1">
      <c r="B698" s="173"/>
      <c r="E698" s="173"/>
      <c r="Q698" s="173"/>
      <c r="R698" s="173"/>
    </row>
    <row r="699" ht="15.75" customHeight="1">
      <c r="B699" s="173"/>
      <c r="E699" s="173"/>
      <c r="Q699" s="173"/>
      <c r="R699" s="173"/>
    </row>
    <row r="700" ht="15.75" customHeight="1">
      <c r="B700" s="173"/>
      <c r="E700" s="173"/>
      <c r="Q700" s="173"/>
      <c r="R700" s="173"/>
    </row>
    <row r="701" ht="15.75" customHeight="1">
      <c r="B701" s="173"/>
      <c r="E701" s="173"/>
      <c r="Q701" s="173"/>
      <c r="R701" s="173"/>
    </row>
    <row r="702" ht="15.75" customHeight="1">
      <c r="B702" s="173"/>
      <c r="E702" s="173"/>
      <c r="Q702" s="173"/>
      <c r="R702" s="173"/>
    </row>
    <row r="703" ht="15.75" customHeight="1">
      <c r="B703" s="173"/>
      <c r="E703" s="173"/>
      <c r="Q703" s="173"/>
      <c r="R703" s="173"/>
    </row>
    <row r="704" ht="15.75" customHeight="1">
      <c r="B704" s="173"/>
      <c r="E704" s="173"/>
      <c r="Q704" s="173"/>
      <c r="R704" s="173"/>
    </row>
    <row r="705" ht="15.75" customHeight="1">
      <c r="B705" s="173"/>
      <c r="E705" s="173"/>
      <c r="Q705" s="173"/>
      <c r="R705" s="173"/>
    </row>
    <row r="706" ht="15.75" customHeight="1">
      <c r="B706" s="173"/>
      <c r="E706" s="173"/>
      <c r="Q706" s="173"/>
      <c r="R706" s="173"/>
    </row>
    <row r="707" ht="15.75" customHeight="1">
      <c r="B707" s="173"/>
      <c r="E707" s="173"/>
      <c r="Q707" s="173"/>
      <c r="R707" s="173"/>
    </row>
    <row r="708" ht="15.75" customHeight="1">
      <c r="B708" s="173"/>
      <c r="E708" s="173"/>
      <c r="Q708" s="173"/>
      <c r="R708" s="173"/>
    </row>
    <row r="709" ht="15.75" customHeight="1">
      <c r="B709" s="173"/>
      <c r="E709" s="173"/>
      <c r="Q709" s="173"/>
      <c r="R709" s="173"/>
    </row>
    <row r="710" ht="15.75" customHeight="1">
      <c r="B710" s="173"/>
      <c r="E710" s="173"/>
      <c r="Q710" s="173"/>
      <c r="R710" s="173"/>
    </row>
    <row r="711" ht="15.75" customHeight="1">
      <c r="B711" s="173"/>
      <c r="E711" s="173"/>
      <c r="Q711" s="173"/>
      <c r="R711" s="173"/>
    </row>
    <row r="712" ht="15.75" customHeight="1">
      <c r="B712" s="173"/>
      <c r="E712" s="173"/>
      <c r="Q712" s="173"/>
      <c r="R712" s="173"/>
    </row>
    <row r="713" ht="15.75" customHeight="1">
      <c r="B713" s="173"/>
      <c r="E713" s="173"/>
      <c r="Q713" s="173"/>
      <c r="R713" s="173"/>
    </row>
    <row r="714" ht="15.75" customHeight="1">
      <c r="B714" s="173"/>
      <c r="E714" s="173"/>
      <c r="Q714" s="173"/>
      <c r="R714" s="173"/>
    </row>
    <row r="715" ht="15.75" customHeight="1">
      <c r="B715" s="173"/>
      <c r="E715" s="173"/>
      <c r="Q715" s="173"/>
      <c r="R715" s="173"/>
    </row>
    <row r="716" ht="15.75" customHeight="1">
      <c r="B716" s="173"/>
      <c r="E716" s="173"/>
      <c r="Q716" s="173"/>
      <c r="R716" s="173"/>
    </row>
    <row r="717" ht="15.75" customHeight="1">
      <c r="B717" s="173"/>
      <c r="E717" s="173"/>
      <c r="Q717" s="173"/>
      <c r="R717" s="173"/>
    </row>
    <row r="718" ht="15.75" customHeight="1">
      <c r="B718" s="173"/>
      <c r="E718" s="173"/>
      <c r="Q718" s="173"/>
      <c r="R718" s="173"/>
    </row>
    <row r="719" ht="15.75" customHeight="1">
      <c r="B719" s="173"/>
      <c r="E719" s="173"/>
      <c r="Q719" s="173"/>
      <c r="R719" s="173"/>
    </row>
    <row r="720" ht="15.75" customHeight="1">
      <c r="B720" s="173"/>
      <c r="E720" s="173"/>
      <c r="Q720" s="173"/>
      <c r="R720" s="173"/>
    </row>
    <row r="721" ht="15.75" customHeight="1">
      <c r="B721" s="173"/>
      <c r="E721" s="173"/>
      <c r="Q721" s="173"/>
      <c r="R721" s="173"/>
    </row>
    <row r="722" ht="15.75" customHeight="1">
      <c r="B722" s="173"/>
      <c r="E722" s="173"/>
      <c r="Q722" s="173"/>
      <c r="R722" s="173"/>
    </row>
    <row r="723" ht="15.75" customHeight="1">
      <c r="B723" s="173"/>
      <c r="E723" s="173"/>
      <c r="Q723" s="173"/>
      <c r="R723" s="173"/>
    </row>
    <row r="724" ht="15.75" customHeight="1">
      <c r="B724" s="173"/>
      <c r="E724" s="173"/>
      <c r="Q724" s="173"/>
      <c r="R724" s="173"/>
    </row>
    <row r="725" ht="15.75" customHeight="1">
      <c r="B725" s="173"/>
      <c r="E725" s="173"/>
      <c r="Q725" s="173"/>
      <c r="R725" s="173"/>
    </row>
    <row r="726" ht="15.75" customHeight="1">
      <c r="B726" s="173"/>
      <c r="E726" s="173"/>
      <c r="Q726" s="173"/>
      <c r="R726" s="173"/>
    </row>
    <row r="727" ht="15.75" customHeight="1">
      <c r="B727" s="173"/>
      <c r="E727" s="173"/>
      <c r="Q727" s="173"/>
      <c r="R727" s="173"/>
    </row>
    <row r="728" ht="15.75" customHeight="1">
      <c r="B728" s="173"/>
      <c r="E728" s="173"/>
      <c r="Q728" s="173"/>
      <c r="R728" s="173"/>
    </row>
    <row r="729" ht="15.75" customHeight="1">
      <c r="B729" s="173"/>
      <c r="E729" s="173"/>
      <c r="Q729" s="173"/>
      <c r="R729" s="173"/>
    </row>
    <row r="730" ht="15.75" customHeight="1">
      <c r="B730" s="173"/>
      <c r="E730" s="173"/>
      <c r="Q730" s="173"/>
      <c r="R730" s="173"/>
    </row>
    <row r="731" ht="15.75" customHeight="1">
      <c r="B731" s="173"/>
      <c r="E731" s="173"/>
      <c r="Q731" s="173"/>
      <c r="R731" s="173"/>
    </row>
    <row r="732" ht="15.75" customHeight="1">
      <c r="B732" s="173"/>
      <c r="E732" s="173"/>
      <c r="Q732" s="173"/>
      <c r="R732" s="173"/>
    </row>
    <row r="733" ht="15.75" customHeight="1">
      <c r="B733" s="173"/>
      <c r="E733" s="173"/>
      <c r="Q733" s="173"/>
      <c r="R733" s="173"/>
    </row>
    <row r="734" ht="15.75" customHeight="1">
      <c r="B734" s="173"/>
      <c r="E734" s="173"/>
      <c r="Q734" s="173"/>
      <c r="R734" s="173"/>
    </row>
    <row r="735" ht="15.75" customHeight="1">
      <c r="B735" s="173"/>
      <c r="E735" s="173"/>
      <c r="Q735" s="173"/>
      <c r="R735" s="173"/>
    </row>
    <row r="736" ht="15.75" customHeight="1">
      <c r="B736" s="173"/>
      <c r="E736" s="173"/>
      <c r="Q736" s="173"/>
      <c r="R736" s="173"/>
    </row>
    <row r="737" ht="15.75" customHeight="1">
      <c r="B737" s="173"/>
      <c r="E737" s="173"/>
      <c r="Q737" s="173"/>
      <c r="R737" s="173"/>
    </row>
    <row r="738" ht="15.75" customHeight="1">
      <c r="B738" s="173"/>
      <c r="E738" s="173"/>
      <c r="Q738" s="173"/>
      <c r="R738" s="173"/>
    </row>
    <row r="739" ht="15.75" customHeight="1">
      <c r="B739" s="173"/>
      <c r="E739" s="173"/>
      <c r="Q739" s="173"/>
      <c r="R739" s="173"/>
    </row>
    <row r="740" ht="15.75" customHeight="1">
      <c r="B740" s="173"/>
      <c r="E740" s="173"/>
      <c r="Q740" s="173"/>
      <c r="R740" s="173"/>
    </row>
    <row r="741" ht="15.75" customHeight="1">
      <c r="B741" s="173"/>
      <c r="E741" s="173"/>
      <c r="Q741" s="173"/>
      <c r="R741" s="173"/>
    </row>
    <row r="742" ht="15.75" customHeight="1">
      <c r="B742" s="173"/>
      <c r="E742" s="173"/>
      <c r="Q742" s="173"/>
      <c r="R742" s="173"/>
    </row>
    <row r="743" ht="15.75" customHeight="1">
      <c r="B743" s="173"/>
      <c r="E743" s="173"/>
      <c r="Q743" s="173"/>
      <c r="R743" s="173"/>
    </row>
    <row r="744" ht="15.75" customHeight="1">
      <c r="B744" s="173"/>
      <c r="E744" s="173"/>
      <c r="Q744" s="173"/>
      <c r="R744" s="173"/>
    </row>
    <row r="745" ht="15.75" customHeight="1">
      <c r="B745" s="173"/>
      <c r="E745" s="173"/>
      <c r="Q745" s="173"/>
      <c r="R745" s="173"/>
    </row>
    <row r="746" ht="15.75" customHeight="1">
      <c r="B746" s="173"/>
      <c r="E746" s="173"/>
      <c r="Q746" s="173"/>
      <c r="R746" s="173"/>
    </row>
    <row r="747" ht="15.75" customHeight="1">
      <c r="B747" s="173"/>
      <c r="E747" s="173"/>
      <c r="Q747" s="173"/>
      <c r="R747" s="173"/>
    </row>
    <row r="748" ht="15.75" customHeight="1">
      <c r="B748" s="173"/>
      <c r="E748" s="173"/>
      <c r="Q748" s="173"/>
      <c r="R748" s="173"/>
    </row>
    <row r="749" ht="15.75" customHeight="1">
      <c r="B749" s="173"/>
      <c r="E749" s="173"/>
      <c r="Q749" s="173"/>
      <c r="R749" s="173"/>
    </row>
    <row r="750" ht="15.75" customHeight="1">
      <c r="B750" s="173"/>
      <c r="E750" s="173"/>
      <c r="Q750" s="173"/>
      <c r="R750" s="173"/>
    </row>
    <row r="751" ht="15.75" customHeight="1">
      <c r="B751" s="173"/>
      <c r="E751" s="173"/>
      <c r="Q751" s="173"/>
      <c r="R751" s="173"/>
    </row>
    <row r="752" ht="15.75" customHeight="1">
      <c r="B752" s="173"/>
      <c r="E752" s="173"/>
      <c r="Q752" s="173"/>
      <c r="R752" s="173"/>
    </row>
    <row r="753" ht="15.75" customHeight="1">
      <c r="B753" s="173"/>
      <c r="E753" s="173"/>
      <c r="Q753" s="173"/>
      <c r="R753" s="173"/>
    </row>
    <row r="754" ht="15.75" customHeight="1">
      <c r="B754" s="173"/>
      <c r="E754" s="173"/>
      <c r="Q754" s="173"/>
      <c r="R754" s="173"/>
    </row>
    <row r="755" ht="15.75" customHeight="1">
      <c r="B755" s="173"/>
      <c r="E755" s="173"/>
      <c r="Q755" s="173"/>
      <c r="R755" s="173"/>
    </row>
    <row r="756" ht="15.75" customHeight="1">
      <c r="B756" s="173"/>
      <c r="E756" s="173"/>
      <c r="Q756" s="173"/>
      <c r="R756" s="173"/>
    </row>
    <row r="757" ht="15.75" customHeight="1">
      <c r="B757" s="173"/>
      <c r="E757" s="173"/>
      <c r="Q757" s="173"/>
      <c r="R757" s="173"/>
    </row>
    <row r="758" ht="15.75" customHeight="1">
      <c r="B758" s="173"/>
      <c r="E758" s="173"/>
      <c r="Q758" s="173"/>
      <c r="R758" s="173"/>
    </row>
    <row r="759" ht="15.75" customHeight="1">
      <c r="B759" s="173"/>
      <c r="E759" s="173"/>
      <c r="Q759" s="173"/>
      <c r="R759" s="173"/>
    </row>
    <row r="760" ht="15.75" customHeight="1">
      <c r="B760" s="173"/>
      <c r="E760" s="173"/>
      <c r="Q760" s="173"/>
      <c r="R760" s="173"/>
    </row>
    <row r="761" ht="15.75" customHeight="1">
      <c r="B761" s="173"/>
      <c r="E761" s="173"/>
      <c r="Q761" s="173"/>
      <c r="R761" s="173"/>
    </row>
    <row r="762" ht="15.75" customHeight="1">
      <c r="B762" s="173"/>
      <c r="E762" s="173"/>
      <c r="Q762" s="173"/>
      <c r="R762" s="173"/>
    </row>
    <row r="763" ht="15.75" customHeight="1">
      <c r="B763" s="173"/>
      <c r="E763" s="173"/>
      <c r="Q763" s="173"/>
      <c r="R763" s="173"/>
    </row>
    <row r="764" ht="15.75" customHeight="1">
      <c r="B764" s="173"/>
      <c r="E764" s="173"/>
      <c r="Q764" s="173"/>
      <c r="R764" s="173"/>
    </row>
    <row r="765" ht="15.75" customHeight="1">
      <c r="B765" s="173"/>
      <c r="E765" s="173"/>
      <c r="Q765" s="173"/>
      <c r="R765" s="173"/>
    </row>
    <row r="766" ht="15.75" customHeight="1">
      <c r="B766" s="173"/>
      <c r="E766" s="173"/>
      <c r="Q766" s="173"/>
      <c r="R766" s="173"/>
    </row>
    <row r="767" ht="15.75" customHeight="1">
      <c r="B767" s="173"/>
      <c r="E767" s="173"/>
      <c r="Q767" s="173"/>
      <c r="R767" s="173"/>
    </row>
    <row r="768" ht="15.75" customHeight="1">
      <c r="B768" s="173"/>
      <c r="E768" s="173"/>
      <c r="Q768" s="173"/>
      <c r="R768" s="173"/>
    </row>
    <row r="769" ht="15.75" customHeight="1">
      <c r="B769" s="173"/>
      <c r="E769" s="173"/>
      <c r="Q769" s="173"/>
      <c r="R769" s="173"/>
    </row>
    <row r="770" ht="15.75" customHeight="1">
      <c r="B770" s="173"/>
      <c r="E770" s="173"/>
      <c r="Q770" s="173"/>
      <c r="R770" s="173"/>
    </row>
    <row r="771" ht="15.75" customHeight="1">
      <c r="B771" s="173"/>
      <c r="E771" s="173"/>
      <c r="Q771" s="173"/>
      <c r="R771" s="173"/>
    </row>
    <row r="772" ht="15.75" customHeight="1">
      <c r="B772" s="173"/>
      <c r="E772" s="173"/>
      <c r="Q772" s="173"/>
      <c r="R772" s="173"/>
    </row>
    <row r="773" ht="15.75" customHeight="1">
      <c r="B773" s="173"/>
      <c r="E773" s="173"/>
      <c r="Q773" s="173"/>
      <c r="R773" s="173"/>
    </row>
    <row r="774" ht="15.75" customHeight="1">
      <c r="B774" s="173"/>
      <c r="E774" s="173"/>
      <c r="Q774" s="173"/>
      <c r="R774" s="173"/>
    </row>
    <row r="775" ht="15.75" customHeight="1">
      <c r="B775" s="173"/>
      <c r="E775" s="173"/>
      <c r="Q775" s="173"/>
      <c r="R775" s="173"/>
    </row>
    <row r="776" ht="15.75" customHeight="1">
      <c r="B776" s="173"/>
      <c r="E776" s="173"/>
      <c r="Q776" s="173"/>
      <c r="R776" s="173"/>
    </row>
    <row r="777" ht="15.75" customHeight="1">
      <c r="B777" s="173"/>
      <c r="E777" s="173"/>
      <c r="Q777" s="173"/>
      <c r="R777" s="173"/>
    </row>
    <row r="778" ht="15.75" customHeight="1">
      <c r="B778" s="173"/>
      <c r="E778" s="173"/>
      <c r="Q778" s="173"/>
      <c r="R778" s="173"/>
    </row>
    <row r="779" ht="15.75" customHeight="1">
      <c r="B779" s="173"/>
      <c r="E779" s="173"/>
      <c r="Q779" s="173"/>
      <c r="R779" s="173"/>
    </row>
    <row r="780" ht="15.75" customHeight="1">
      <c r="B780" s="173"/>
      <c r="E780" s="173"/>
      <c r="Q780" s="173"/>
      <c r="R780" s="173"/>
    </row>
    <row r="781" ht="15.75" customHeight="1">
      <c r="B781" s="173"/>
      <c r="E781" s="173"/>
      <c r="Q781" s="173"/>
      <c r="R781" s="173"/>
    </row>
    <row r="782" ht="15.75" customHeight="1">
      <c r="B782" s="173"/>
      <c r="E782" s="173"/>
      <c r="Q782" s="173"/>
      <c r="R782" s="173"/>
    </row>
    <row r="783" ht="15.75" customHeight="1">
      <c r="B783" s="173"/>
      <c r="E783" s="173"/>
      <c r="Q783" s="173"/>
      <c r="R783" s="173"/>
    </row>
    <row r="784" ht="15.75" customHeight="1">
      <c r="B784" s="173"/>
      <c r="E784" s="173"/>
      <c r="Q784" s="173"/>
      <c r="R784" s="173"/>
    </row>
    <row r="785" ht="15.75" customHeight="1">
      <c r="B785" s="173"/>
      <c r="E785" s="173"/>
      <c r="Q785" s="173"/>
      <c r="R785" s="173"/>
    </row>
    <row r="786" ht="15.75" customHeight="1">
      <c r="B786" s="173"/>
      <c r="E786" s="173"/>
      <c r="Q786" s="173"/>
      <c r="R786" s="173"/>
    </row>
    <row r="787" ht="15.75" customHeight="1">
      <c r="B787" s="173"/>
      <c r="E787" s="173"/>
      <c r="Q787" s="173"/>
      <c r="R787" s="173"/>
    </row>
    <row r="788" ht="15.75" customHeight="1">
      <c r="B788" s="173"/>
      <c r="E788" s="173"/>
      <c r="Q788" s="173"/>
      <c r="R788" s="173"/>
    </row>
    <row r="789" ht="15.75" customHeight="1">
      <c r="B789" s="173"/>
      <c r="E789" s="173"/>
      <c r="Q789" s="173"/>
      <c r="R789" s="173"/>
    </row>
    <row r="790" ht="15.75" customHeight="1">
      <c r="B790" s="173"/>
      <c r="E790" s="173"/>
      <c r="Q790" s="173"/>
      <c r="R790" s="173"/>
    </row>
    <row r="791" ht="15.75" customHeight="1">
      <c r="B791" s="173"/>
      <c r="E791" s="173"/>
      <c r="Q791" s="173"/>
      <c r="R791" s="173"/>
    </row>
    <row r="792" ht="15.75" customHeight="1">
      <c r="B792" s="173"/>
      <c r="E792" s="173"/>
      <c r="Q792" s="173"/>
      <c r="R792" s="173"/>
    </row>
    <row r="793" ht="15.75" customHeight="1">
      <c r="B793" s="173"/>
      <c r="E793" s="173"/>
      <c r="Q793" s="173"/>
      <c r="R793" s="173"/>
    </row>
    <row r="794" ht="15.75" customHeight="1">
      <c r="B794" s="173"/>
      <c r="E794" s="173"/>
      <c r="Q794" s="173"/>
      <c r="R794" s="173"/>
    </row>
    <row r="795" ht="15.75" customHeight="1">
      <c r="B795" s="173"/>
      <c r="E795" s="173"/>
      <c r="Q795" s="173"/>
      <c r="R795" s="173"/>
    </row>
    <row r="796" ht="15.75" customHeight="1">
      <c r="B796" s="173"/>
      <c r="E796" s="173"/>
      <c r="Q796" s="173"/>
      <c r="R796" s="173"/>
    </row>
    <row r="797" ht="15.75" customHeight="1">
      <c r="B797" s="173"/>
      <c r="E797" s="173"/>
      <c r="Q797" s="173"/>
      <c r="R797" s="173"/>
    </row>
    <row r="798" ht="15.75" customHeight="1">
      <c r="B798" s="173"/>
      <c r="E798" s="173"/>
      <c r="Q798" s="173"/>
      <c r="R798" s="173"/>
    </row>
    <row r="799" ht="15.75" customHeight="1">
      <c r="B799" s="173"/>
      <c r="E799" s="173"/>
      <c r="Q799" s="173"/>
      <c r="R799" s="173"/>
    </row>
    <row r="800" ht="15.75" customHeight="1">
      <c r="B800" s="173"/>
      <c r="E800" s="173"/>
      <c r="Q800" s="173"/>
      <c r="R800" s="173"/>
    </row>
    <row r="801" ht="15.75" customHeight="1">
      <c r="B801" s="173"/>
      <c r="E801" s="173"/>
      <c r="Q801" s="173"/>
      <c r="R801" s="173"/>
    </row>
    <row r="802" ht="15.75" customHeight="1">
      <c r="B802" s="173"/>
      <c r="E802" s="173"/>
      <c r="Q802" s="173"/>
      <c r="R802" s="173"/>
    </row>
    <row r="803" ht="15.75" customHeight="1">
      <c r="B803" s="173"/>
      <c r="E803" s="173"/>
      <c r="Q803" s="173"/>
      <c r="R803" s="173"/>
    </row>
    <row r="804" ht="15.75" customHeight="1">
      <c r="B804" s="173"/>
      <c r="E804" s="173"/>
      <c r="Q804" s="173"/>
      <c r="R804" s="173"/>
    </row>
    <row r="805" ht="15.75" customHeight="1">
      <c r="B805" s="173"/>
      <c r="E805" s="173"/>
      <c r="Q805" s="173"/>
      <c r="R805" s="173"/>
    </row>
    <row r="806" ht="15.75" customHeight="1">
      <c r="B806" s="173"/>
      <c r="E806" s="173"/>
      <c r="Q806" s="173"/>
      <c r="R806" s="173"/>
    </row>
    <row r="807" ht="15.75" customHeight="1">
      <c r="B807" s="173"/>
      <c r="E807" s="173"/>
      <c r="Q807" s="173"/>
      <c r="R807" s="173"/>
    </row>
    <row r="808" ht="15.75" customHeight="1">
      <c r="B808" s="173"/>
      <c r="E808" s="173"/>
      <c r="Q808" s="173"/>
      <c r="R808" s="173"/>
    </row>
    <row r="809" ht="15.75" customHeight="1">
      <c r="B809" s="173"/>
      <c r="E809" s="173"/>
      <c r="Q809" s="173"/>
      <c r="R809" s="173"/>
    </row>
    <row r="810" ht="15.75" customHeight="1">
      <c r="B810" s="173"/>
      <c r="E810" s="173"/>
      <c r="Q810" s="173"/>
      <c r="R810" s="173"/>
    </row>
    <row r="811" ht="15.75" customHeight="1">
      <c r="B811" s="173"/>
      <c r="E811" s="173"/>
      <c r="Q811" s="173"/>
      <c r="R811" s="173"/>
    </row>
    <row r="812" ht="15.75" customHeight="1">
      <c r="B812" s="173"/>
      <c r="E812" s="173"/>
      <c r="Q812" s="173"/>
      <c r="R812" s="173"/>
    </row>
    <row r="813" ht="15.75" customHeight="1">
      <c r="B813" s="173"/>
      <c r="E813" s="173"/>
      <c r="Q813" s="173"/>
      <c r="R813" s="173"/>
    </row>
    <row r="814" ht="15.75" customHeight="1">
      <c r="B814" s="173"/>
      <c r="E814" s="173"/>
      <c r="Q814" s="173"/>
      <c r="R814" s="173"/>
    </row>
    <row r="815" ht="15.75" customHeight="1">
      <c r="B815" s="173"/>
      <c r="E815" s="173"/>
      <c r="Q815" s="173"/>
      <c r="R815" s="173"/>
    </row>
    <row r="816" ht="15.75" customHeight="1">
      <c r="B816" s="173"/>
      <c r="E816" s="173"/>
      <c r="Q816" s="173"/>
      <c r="R816" s="173"/>
    </row>
    <row r="817" ht="15.75" customHeight="1">
      <c r="B817" s="173"/>
      <c r="E817" s="173"/>
      <c r="Q817" s="173"/>
      <c r="R817" s="173"/>
    </row>
    <row r="818" ht="15.75" customHeight="1">
      <c r="B818" s="173"/>
      <c r="E818" s="173"/>
      <c r="Q818" s="173"/>
      <c r="R818" s="173"/>
    </row>
    <row r="819" ht="15.75" customHeight="1">
      <c r="B819" s="173"/>
      <c r="E819" s="173"/>
      <c r="Q819" s="173"/>
      <c r="R819" s="173"/>
    </row>
    <row r="820" ht="15.75" customHeight="1">
      <c r="B820" s="173"/>
      <c r="E820" s="173"/>
      <c r="Q820" s="173"/>
      <c r="R820" s="173"/>
    </row>
    <row r="821" ht="15.75" customHeight="1">
      <c r="B821" s="173"/>
      <c r="E821" s="173"/>
      <c r="Q821" s="173"/>
      <c r="R821" s="173"/>
    </row>
    <row r="822" ht="15.75" customHeight="1">
      <c r="B822" s="173"/>
      <c r="E822" s="173"/>
      <c r="Q822" s="173"/>
      <c r="R822" s="173"/>
    </row>
    <row r="823" ht="15.75" customHeight="1">
      <c r="B823" s="173"/>
      <c r="E823" s="173"/>
      <c r="Q823" s="173"/>
      <c r="R823" s="173"/>
    </row>
    <row r="824" ht="15.75" customHeight="1">
      <c r="B824" s="173"/>
      <c r="E824" s="173"/>
      <c r="Q824" s="173"/>
      <c r="R824" s="173"/>
    </row>
    <row r="825" ht="15.75" customHeight="1">
      <c r="B825" s="173"/>
      <c r="E825" s="173"/>
      <c r="Q825" s="173"/>
      <c r="R825" s="173"/>
    </row>
    <row r="826" ht="15.75" customHeight="1">
      <c r="B826" s="173"/>
      <c r="E826" s="173"/>
      <c r="Q826" s="173"/>
      <c r="R826" s="173"/>
    </row>
    <row r="827" ht="15.75" customHeight="1">
      <c r="B827" s="173"/>
      <c r="E827" s="173"/>
      <c r="Q827" s="173"/>
      <c r="R827" s="173"/>
    </row>
    <row r="828" ht="15.75" customHeight="1">
      <c r="B828" s="173"/>
      <c r="E828" s="173"/>
      <c r="Q828" s="173"/>
      <c r="R828" s="173"/>
    </row>
    <row r="829" ht="15.75" customHeight="1">
      <c r="B829" s="173"/>
      <c r="E829" s="173"/>
      <c r="Q829" s="173"/>
      <c r="R829" s="173"/>
    </row>
    <row r="830" ht="15.75" customHeight="1">
      <c r="B830" s="173"/>
      <c r="E830" s="173"/>
      <c r="Q830" s="173"/>
      <c r="R830" s="173"/>
    </row>
    <row r="831" ht="15.75" customHeight="1">
      <c r="B831" s="173"/>
      <c r="E831" s="173"/>
      <c r="Q831" s="173"/>
      <c r="R831" s="173"/>
    </row>
    <row r="832" ht="15.75" customHeight="1">
      <c r="B832" s="173"/>
      <c r="E832" s="173"/>
      <c r="Q832" s="173"/>
      <c r="R832" s="173"/>
    </row>
    <row r="833" ht="15.75" customHeight="1">
      <c r="B833" s="173"/>
      <c r="E833" s="173"/>
      <c r="Q833" s="173"/>
      <c r="R833" s="173"/>
    </row>
    <row r="834" ht="15.75" customHeight="1">
      <c r="B834" s="173"/>
      <c r="E834" s="173"/>
      <c r="Q834" s="173"/>
      <c r="R834" s="173"/>
    </row>
    <row r="835" ht="15.75" customHeight="1">
      <c r="B835" s="173"/>
      <c r="E835" s="173"/>
      <c r="Q835" s="173"/>
      <c r="R835" s="173"/>
    </row>
    <row r="836" ht="15.75" customHeight="1">
      <c r="B836" s="173"/>
      <c r="E836" s="173"/>
      <c r="Q836" s="173"/>
      <c r="R836" s="173"/>
    </row>
    <row r="837" ht="15.75" customHeight="1">
      <c r="B837" s="173"/>
      <c r="E837" s="173"/>
      <c r="Q837" s="173"/>
      <c r="R837" s="173"/>
    </row>
    <row r="838" ht="15.75" customHeight="1">
      <c r="B838" s="173"/>
      <c r="E838" s="173"/>
      <c r="Q838" s="173"/>
      <c r="R838" s="173"/>
    </row>
    <row r="839" ht="15.75" customHeight="1">
      <c r="B839" s="173"/>
      <c r="E839" s="173"/>
      <c r="Q839" s="173"/>
      <c r="R839" s="173"/>
    </row>
    <row r="840" ht="15.75" customHeight="1">
      <c r="B840" s="173"/>
      <c r="E840" s="173"/>
      <c r="Q840" s="173"/>
      <c r="R840" s="173"/>
    </row>
    <row r="841" ht="15.75" customHeight="1">
      <c r="B841" s="173"/>
      <c r="E841" s="173"/>
      <c r="Q841" s="173"/>
      <c r="R841" s="173"/>
    </row>
    <row r="842" ht="15.75" customHeight="1">
      <c r="B842" s="173"/>
      <c r="E842" s="173"/>
      <c r="Q842" s="173"/>
      <c r="R842" s="173"/>
    </row>
    <row r="843" ht="15.75" customHeight="1">
      <c r="B843" s="173"/>
      <c r="E843" s="173"/>
      <c r="Q843" s="173"/>
      <c r="R843" s="173"/>
    </row>
    <row r="844" ht="15.75" customHeight="1">
      <c r="B844" s="173"/>
      <c r="E844" s="173"/>
      <c r="Q844" s="173"/>
      <c r="R844" s="173"/>
    </row>
    <row r="845" ht="15.75" customHeight="1">
      <c r="B845" s="173"/>
      <c r="E845" s="173"/>
      <c r="Q845" s="173"/>
      <c r="R845" s="173"/>
    </row>
    <row r="846" ht="15.75" customHeight="1">
      <c r="B846" s="173"/>
      <c r="E846" s="173"/>
      <c r="Q846" s="173"/>
      <c r="R846" s="173"/>
    </row>
    <row r="847" ht="15.75" customHeight="1">
      <c r="B847" s="173"/>
      <c r="E847" s="173"/>
      <c r="Q847" s="173"/>
      <c r="R847" s="173"/>
    </row>
    <row r="848" ht="15.75" customHeight="1">
      <c r="B848" s="173"/>
      <c r="E848" s="173"/>
      <c r="Q848" s="173"/>
      <c r="R848" s="173"/>
    </row>
    <row r="849" ht="15.75" customHeight="1">
      <c r="B849" s="173"/>
      <c r="E849" s="173"/>
      <c r="Q849" s="173"/>
      <c r="R849" s="173"/>
    </row>
    <row r="850" ht="15.75" customHeight="1">
      <c r="B850" s="173"/>
      <c r="E850" s="173"/>
      <c r="Q850" s="173"/>
      <c r="R850" s="173"/>
    </row>
    <row r="851" ht="15.75" customHeight="1">
      <c r="B851" s="173"/>
      <c r="E851" s="173"/>
      <c r="Q851" s="173"/>
      <c r="R851" s="173"/>
    </row>
    <row r="852" ht="15.75" customHeight="1">
      <c r="B852" s="173"/>
      <c r="E852" s="173"/>
      <c r="Q852" s="173"/>
      <c r="R852" s="173"/>
    </row>
    <row r="853" ht="15.75" customHeight="1">
      <c r="B853" s="173"/>
      <c r="E853" s="173"/>
      <c r="Q853" s="173"/>
      <c r="R853" s="173"/>
    </row>
    <row r="854" ht="15.75" customHeight="1">
      <c r="B854" s="173"/>
      <c r="E854" s="173"/>
      <c r="Q854" s="173"/>
      <c r="R854" s="173"/>
    </row>
    <row r="855" ht="15.75" customHeight="1">
      <c r="B855" s="173"/>
      <c r="E855" s="173"/>
      <c r="Q855" s="173"/>
      <c r="R855" s="173"/>
    </row>
    <row r="856" ht="15.75" customHeight="1">
      <c r="B856" s="173"/>
      <c r="E856" s="173"/>
      <c r="Q856" s="173"/>
      <c r="R856" s="173"/>
    </row>
    <row r="857" ht="15.75" customHeight="1">
      <c r="B857" s="173"/>
      <c r="E857" s="173"/>
      <c r="Q857" s="173"/>
      <c r="R857" s="173"/>
    </row>
    <row r="858" ht="15.75" customHeight="1">
      <c r="B858" s="173"/>
      <c r="E858" s="173"/>
      <c r="Q858" s="173"/>
      <c r="R858" s="173"/>
    </row>
    <row r="859" ht="15.75" customHeight="1">
      <c r="B859" s="173"/>
      <c r="E859" s="173"/>
      <c r="Q859" s="173"/>
      <c r="R859" s="173"/>
    </row>
    <row r="860" ht="15.75" customHeight="1">
      <c r="B860" s="173"/>
      <c r="E860" s="173"/>
      <c r="Q860" s="173"/>
      <c r="R860" s="173"/>
    </row>
    <row r="861" ht="15.75" customHeight="1">
      <c r="B861" s="173"/>
      <c r="E861" s="173"/>
      <c r="Q861" s="173"/>
      <c r="R861" s="173"/>
    </row>
    <row r="862" ht="15.75" customHeight="1">
      <c r="B862" s="173"/>
      <c r="E862" s="173"/>
      <c r="Q862" s="173"/>
      <c r="R862" s="173"/>
    </row>
    <row r="863" ht="15.75" customHeight="1">
      <c r="B863" s="173"/>
      <c r="E863" s="173"/>
      <c r="Q863" s="173"/>
      <c r="R863" s="173"/>
    </row>
    <row r="864" ht="15.75" customHeight="1">
      <c r="B864" s="173"/>
      <c r="E864" s="173"/>
      <c r="Q864" s="173"/>
      <c r="R864" s="173"/>
    </row>
    <row r="865" ht="15.75" customHeight="1">
      <c r="B865" s="173"/>
      <c r="E865" s="173"/>
      <c r="Q865" s="173"/>
      <c r="R865" s="173"/>
    </row>
    <row r="866" ht="15.75" customHeight="1">
      <c r="B866" s="173"/>
      <c r="E866" s="173"/>
      <c r="Q866" s="173"/>
      <c r="R866" s="173"/>
    </row>
    <row r="867" ht="15.75" customHeight="1">
      <c r="B867" s="173"/>
      <c r="E867" s="173"/>
      <c r="Q867" s="173"/>
      <c r="R867" s="173"/>
    </row>
    <row r="868" ht="15.75" customHeight="1">
      <c r="B868" s="173"/>
      <c r="E868" s="173"/>
      <c r="Q868" s="173"/>
      <c r="R868" s="173"/>
    </row>
    <row r="869" ht="15.75" customHeight="1">
      <c r="B869" s="173"/>
      <c r="E869" s="173"/>
      <c r="Q869" s="173"/>
      <c r="R869" s="173"/>
    </row>
    <row r="870" ht="15.75" customHeight="1">
      <c r="B870" s="173"/>
      <c r="E870" s="173"/>
      <c r="Q870" s="173"/>
      <c r="R870" s="173"/>
    </row>
    <row r="871" ht="15.75" customHeight="1">
      <c r="B871" s="173"/>
      <c r="E871" s="173"/>
      <c r="Q871" s="173"/>
      <c r="R871" s="173"/>
    </row>
    <row r="872" ht="15.75" customHeight="1">
      <c r="B872" s="173"/>
      <c r="E872" s="173"/>
      <c r="Q872" s="173"/>
      <c r="R872" s="173"/>
    </row>
    <row r="873" ht="15.75" customHeight="1">
      <c r="B873" s="173"/>
      <c r="E873" s="173"/>
      <c r="Q873" s="173"/>
      <c r="R873" s="173"/>
    </row>
    <row r="874" ht="15.75" customHeight="1">
      <c r="B874" s="173"/>
      <c r="E874" s="173"/>
      <c r="Q874" s="173"/>
      <c r="R874" s="173"/>
    </row>
    <row r="875" ht="15.75" customHeight="1">
      <c r="B875" s="173"/>
      <c r="E875" s="173"/>
      <c r="Q875" s="173"/>
      <c r="R875" s="173"/>
    </row>
    <row r="876" ht="15.75" customHeight="1">
      <c r="B876" s="173"/>
      <c r="E876" s="173"/>
      <c r="Q876" s="173"/>
      <c r="R876" s="173"/>
    </row>
    <row r="877" ht="15.75" customHeight="1">
      <c r="B877" s="173"/>
      <c r="E877" s="173"/>
      <c r="Q877" s="173"/>
      <c r="R877" s="173"/>
    </row>
    <row r="878" ht="15.75" customHeight="1">
      <c r="B878" s="173"/>
      <c r="E878" s="173"/>
      <c r="Q878" s="173"/>
      <c r="R878" s="173"/>
    </row>
    <row r="879" ht="15.75" customHeight="1">
      <c r="B879" s="173"/>
      <c r="E879" s="173"/>
      <c r="Q879" s="173"/>
      <c r="R879" s="173"/>
    </row>
    <row r="880" ht="15.75" customHeight="1">
      <c r="B880" s="173"/>
      <c r="E880" s="173"/>
      <c r="Q880" s="173"/>
      <c r="R880" s="173"/>
    </row>
    <row r="881" ht="15.75" customHeight="1">
      <c r="B881" s="173"/>
      <c r="E881" s="173"/>
      <c r="Q881" s="173"/>
      <c r="R881" s="173"/>
    </row>
    <row r="882" ht="15.75" customHeight="1">
      <c r="B882" s="173"/>
      <c r="E882" s="173"/>
      <c r="Q882" s="173"/>
      <c r="R882" s="173"/>
    </row>
    <row r="883" ht="15.75" customHeight="1">
      <c r="B883" s="173"/>
      <c r="E883" s="173"/>
      <c r="Q883" s="173"/>
      <c r="R883" s="173"/>
    </row>
    <row r="884" ht="15.75" customHeight="1">
      <c r="B884" s="173"/>
      <c r="E884" s="173"/>
      <c r="Q884" s="173"/>
      <c r="R884" s="173"/>
    </row>
    <row r="885" ht="15.75" customHeight="1">
      <c r="B885" s="173"/>
      <c r="E885" s="173"/>
      <c r="Q885" s="173"/>
      <c r="R885" s="173"/>
    </row>
    <row r="886" ht="15.75" customHeight="1">
      <c r="B886" s="173"/>
      <c r="E886" s="173"/>
      <c r="Q886" s="173"/>
      <c r="R886" s="173"/>
    </row>
    <row r="887" ht="15.75" customHeight="1">
      <c r="B887" s="173"/>
      <c r="E887" s="173"/>
      <c r="Q887" s="173"/>
      <c r="R887" s="173"/>
    </row>
    <row r="888" ht="15.75" customHeight="1">
      <c r="B888" s="173"/>
      <c r="E888" s="173"/>
      <c r="Q888" s="173"/>
      <c r="R888" s="173"/>
    </row>
    <row r="889" ht="15.75" customHeight="1">
      <c r="B889" s="173"/>
      <c r="E889" s="173"/>
      <c r="Q889" s="173"/>
      <c r="R889" s="173"/>
    </row>
    <row r="890" ht="15.75" customHeight="1">
      <c r="B890" s="173"/>
      <c r="E890" s="173"/>
      <c r="Q890" s="173"/>
      <c r="R890" s="173"/>
    </row>
    <row r="891" ht="15.75" customHeight="1">
      <c r="B891" s="173"/>
      <c r="E891" s="173"/>
      <c r="Q891" s="173"/>
      <c r="R891" s="173"/>
    </row>
    <row r="892" ht="15.75" customHeight="1">
      <c r="B892" s="173"/>
      <c r="E892" s="173"/>
      <c r="Q892" s="173"/>
      <c r="R892" s="173"/>
    </row>
    <row r="893" ht="15.75" customHeight="1">
      <c r="B893" s="173"/>
      <c r="E893" s="173"/>
      <c r="Q893" s="173"/>
      <c r="R893" s="173"/>
    </row>
    <row r="894" ht="15.75" customHeight="1">
      <c r="B894" s="173"/>
      <c r="E894" s="173"/>
      <c r="Q894" s="173"/>
      <c r="R894" s="173"/>
    </row>
    <row r="895" ht="15.75" customHeight="1">
      <c r="B895" s="173"/>
      <c r="E895" s="173"/>
      <c r="Q895" s="173"/>
      <c r="R895" s="173"/>
    </row>
    <row r="896" ht="15.75" customHeight="1">
      <c r="B896" s="173"/>
      <c r="E896" s="173"/>
      <c r="Q896" s="173"/>
      <c r="R896" s="173"/>
    </row>
    <row r="897" ht="15.75" customHeight="1">
      <c r="B897" s="173"/>
      <c r="E897" s="173"/>
      <c r="Q897" s="173"/>
      <c r="R897" s="173"/>
    </row>
    <row r="898" ht="15.75" customHeight="1">
      <c r="B898" s="173"/>
      <c r="E898" s="173"/>
      <c r="Q898" s="173"/>
      <c r="R898" s="173"/>
    </row>
    <row r="899" ht="15.75" customHeight="1">
      <c r="B899" s="173"/>
      <c r="E899" s="173"/>
      <c r="Q899" s="173"/>
      <c r="R899" s="173"/>
    </row>
    <row r="900" ht="15.75" customHeight="1">
      <c r="B900" s="173"/>
      <c r="E900" s="173"/>
      <c r="Q900" s="173"/>
      <c r="R900" s="173"/>
    </row>
    <row r="901" ht="15.75" customHeight="1">
      <c r="B901" s="173"/>
      <c r="E901" s="173"/>
      <c r="Q901" s="173"/>
      <c r="R901" s="173"/>
    </row>
    <row r="902" ht="15.75" customHeight="1">
      <c r="B902" s="173"/>
      <c r="E902" s="173"/>
      <c r="Q902" s="173"/>
      <c r="R902" s="173"/>
    </row>
    <row r="903" ht="15.75" customHeight="1">
      <c r="B903" s="173"/>
      <c r="E903" s="173"/>
      <c r="Q903" s="173"/>
      <c r="R903" s="173"/>
    </row>
    <row r="904" ht="15.75" customHeight="1">
      <c r="B904" s="173"/>
      <c r="E904" s="173"/>
      <c r="Q904" s="173"/>
      <c r="R904" s="173"/>
    </row>
    <row r="905" ht="15.75" customHeight="1">
      <c r="B905" s="173"/>
      <c r="E905" s="173"/>
      <c r="Q905" s="173"/>
      <c r="R905" s="173"/>
    </row>
    <row r="906" ht="15.75" customHeight="1">
      <c r="B906" s="173"/>
      <c r="E906" s="173"/>
      <c r="Q906" s="173"/>
      <c r="R906" s="173"/>
    </row>
    <row r="907" ht="15.75" customHeight="1">
      <c r="B907" s="173"/>
      <c r="E907" s="173"/>
      <c r="Q907" s="173"/>
      <c r="R907" s="173"/>
    </row>
    <row r="908" ht="15.75" customHeight="1">
      <c r="B908" s="173"/>
      <c r="E908" s="173"/>
      <c r="Q908" s="173"/>
      <c r="R908" s="173"/>
    </row>
    <row r="909" ht="15.75" customHeight="1">
      <c r="B909" s="173"/>
      <c r="E909" s="173"/>
      <c r="Q909" s="173"/>
      <c r="R909" s="173"/>
    </row>
    <row r="910" ht="15.75" customHeight="1">
      <c r="B910" s="173"/>
      <c r="E910" s="173"/>
      <c r="Q910" s="173"/>
      <c r="R910" s="173"/>
    </row>
    <row r="911" ht="15.75" customHeight="1">
      <c r="B911" s="173"/>
      <c r="E911" s="173"/>
      <c r="Q911" s="173"/>
      <c r="R911" s="173"/>
    </row>
    <row r="912" ht="15.75" customHeight="1">
      <c r="B912" s="173"/>
      <c r="E912" s="173"/>
      <c r="Q912" s="173"/>
      <c r="R912" s="173"/>
    </row>
    <row r="913" ht="15.75" customHeight="1">
      <c r="B913" s="173"/>
      <c r="E913" s="173"/>
      <c r="Q913" s="173"/>
      <c r="R913" s="173"/>
    </row>
    <row r="914" ht="15.75" customHeight="1">
      <c r="B914" s="173"/>
      <c r="E914" s="173"/>
      <c r="Q914" s="173"/>
      <c r="R914" s="173"/>
    </row>
    <row r="915" ht="15.75" customHeight="1">
      <c r="B915" s="173"/>
      <c r="E915" s="173"/>
      <c r="Q915" s="173"/>
      <c r="R915" s="173"/>
    </row>
    <row r="916" ht="15.75" customHeight="1">
      <c r="B916" s="173"/>
      <c r="E916" s="173"/>
      <c r="Q916" s="173"/>
      <c r="R916" s="173"/>
    </row>
    <row r="917" ht="15.75" customHeight="1">
      <c r="B917" s="173"/>
      <c r="E917" s="173"/>
      <c r="Q917" s="173"/>
      <c r="R917" s="173"/>
    </row>
    <row r="918" ht="15.75" customHeight="1">
      <c r="B918" s="173"/>
      <c r="E918" s="173"/>
      <c r="Q918" s="173"/>
      <c r="R918" s="173"/>
    </row>
    <row r="919" ht="15.75" customHeight="1">
      <c r="B919" s="173"/>
      <c r="E919" s="173"/>
      <c r="Q919" s="173"/>
      <c r="R919" s="173"/>
    </row>
    <row r="920" ht="15.75" customHeight="1">
      <c r="B920" s="173"/>
      <c r="E920" s="173"/>
      <c r="Q920" s="173"/>
      <c r="R920" s="173"/>
    </row>
    <row r="921" ht="15.75" customHeight="1">
      <c r="B921" s="173"/>
      <c r="E921" s="173"/>
      <c r="Q921" s="173"/>
      <c r="R921" s="173"/>
    </row>
    <row r="922" ht="15.75" customHeight="1">
      <c r="B922" s="173"/>
      <c r="E922" s="173"/>
      <c r="Q922" s="173"/>
      <c r="R922" s="173"/>
    </row>
    <row r="923" ht="15.75" customHeight="1">
      <c r="B923" s="173"/>
      <c r="E923" s="173"/>
      <c r="Q923" s="173"/>
      <c r="R923" s="173"/>
    </row>
    <row r="924" ht="15.75" customHeight="1">
      <c r="B924" s="173"/>
      <c r="E924" s="173"/>
      <c r="Q924" s="173"/>
      <c r="R924" s="173"/>
    </row>
    <row r="925" ht="15.75" customHeight="1">
      <c r="B925" s="173"/>
      <c r="E925" s="173"/>
      <c r="Q925" s="173"/>
      <c r="R925" s="173"/>
    </row>
    <row r="926" ht="15.75" customHeight="1">
      <c r="B926" s="173"/>
      <c r="E926" s="173"/>
      <c r="Q926" s="173"/>
      <c r="R926" s="173"/>
    </row>
    <row r="927" ht="15.75" customHeight="1">
      <c r="B927" s="173"/>
      <c r="E927" s="173"/>
      <c r="Q927" s="173"/>
      <c r="R927" s="173"/>
    </row>
    <row r="928" ht="15.75" customHeight="1">
      <c r="B928" s="173"/>
      <c r="E928" s="173"/>
      <c r="Q928" s="173"/>
      <c r="R928" s="173"/>
    </row>
    <row r="929" ht="15.75" customHeight="1">
      <c r="B929" s="173"/>
      <c r="E929" s="173"/>
      <c r="Q929" s="173"/>
      <c r="R929" s="173"/>
    </row>
    <row r="930" ht="15.75" customHeight="1">
      <c r="B930" s="173"/>
      <c r="E930" s="173"/>
      <c r="Q930" s="173"/>
      <c r="R930" s="173"/>
    </row>
    <row r="931" ht="15.75" customHeight="1">
      <c r="B931" s="173"/>
      <c r="E931" s="173"/>
      <c r="Q931" s="173"/>
      <c r="R931" s="173"/>
    </row>
    <row r="932" ht="15.75" customHeight="1">
      <c r="B932" s="173"/>
      <c r="E932" s="173"/>
      <c r="Q932" s="173"/>
      <c r="R932" s="173"/>
    </row>
    <row r="933" ht="15.75" customHeight="1">
      <c r="B933" s="173"/>
      <c r="E933" s="173"/>
      <c r="Q933" s="173"/>
      <c r="R933" s="173"/>
    </row>
    <row r="934" ht="15.75" customHeight="1">
      <c r="B934" s="173"/>
      <c r="E934" s="173"/>
      <c r="Q934" s="173"/>
      <c r="R934" s="173"/>
    </row>
    <row r="935" ht="15.75" customHeight="1">
      <c r="B935" s="173"/>
      <c r="E935" s="173"/>
      <c r="Q935" s="173"/>
      <c r="R935" s="173"/>
    </row>
    <row r="936" ht="15.75" customHeight="1">
      <c r="B936" s="173"/>
      <c r="E936" s="173"/>
      <c r="Q936" s="173"/>
      <c r="R936" s="173"/>
    </row>
    <row r="937" ht="15.75" customHeight="1">
      <c r="B937" s="173"/>
      <c r="E937" s="173"/>
      <c r="Q937" s="173"/>
      <c r="R937" s="173"/>
    </row>
    <row r="938" ht="15.75" customHeight="1">
      <c r="B938" s="173"/>
      <c r="E938" s="173"/>
      <c r="Q938" s="173"/>
      <c r="R938" s="173"/>
    </row>
    <row r="939" ht="15.75" customHeight="1">
      <c r="B939" s="173"/>
      <c r="E939" s="173"/>
      <c r="Q939" s="173"/>
      <c r="R939" s="173"/>
    </row>
    <row r="940" ht="15.75" customHeight="1">
      <c r="B940" s="173"/>
      <c r="E940" s="173"/>
      <c r="Q940" s="173"/>
      <c r="R940" s="173"/>
    </row>
    <row r="941" ht="15.75" customHeight="1">
      <c r="B941" s="173"/>
      <c r="E941" s="173"/>
      <c r="Q941" s="173"/>
      <c r="R941" s="173"/>
    </row>
    <row r="942" ht="15.75" customHeight="1">
      <c r="B942" s="173"/>
      <c r="E942" s="173"/>
      <c r="Q942" s="173"/>
      <c r="R942" s="173"/>
    </row>
    <row r="943" ht="15.75" customHeight="1">
      <c r="B943" s="173"/>
      <c r="E943" s="173"/>
      <c r="Q943" s="173"/>
      <c r="R943" s="173"/>
    </row>
    <row r="944" ht="15.75" customHeight="1">
      <c r="B944" s="173"/>
      <c r="E944" s="173"/>
      <c r="Q944" s="173"/>
      <c r="R944" s="173"/>
    </row>
    <row r="945" ht="15.75" customHeight="1">
      <c r="B945" s="173"/>
      <c r="E945" s="173"/>
      <c r="Q945" s="173"/>
      <c r="R945" s="173"/>
    </row>
    <row r="946" ht="15.75" customHeight="1">
      <c r="B946" s="173"/>
      <c r="E946" s="173"/>
      <c r="Q946" s="173"/>
      <c r="R946" s="173"/>
    </row>
    <row r="947" ht="15.75" customHeight="1">
      <c r="B947" s="173"/>
      <c r="E947" s="173"/>
      <c r="Q947" s="173"/>
      <c r="R947" s="173"/>
    </row>
    <row r="948" ht="15.75" customHeight="1">
      <c r="B948" s="173"/>
      <c r="E948" s="173"/>
      <c r="Q948" s="173"/>
      <c r="R948" s="173"/>
    </row>
    <row r="949" ht="15.75" customHeight="1">
      <c r="B949" s="173"/>
      <c r="E949" s="173"/>
      <c r="Q949" s="173"/>
      <c r="R949" s="173"/>
    </row>
    <row r="950" ht="15.75" customHeight="1">
      <c r="B950" s="173"/>
      <c r="E950" s="173"/>
      <c r="Q950" s="173"/>
      <c r="R950" s="173"/>
    </row>
    <row r="951" ht="15.75" customHeight="1">
      <c r="B951" s="173"/>
      <c r="E951" s="173"/>
      <c r="Q951" s="173"/>
      <c r="R951" s="173"/>
    </row>
    <row r="952" ht="15.75" customHeight="1">
      <c r="B952" s="173"/>
      <c r="E952" s="173"/>
      <c r="Q952" s="173"/>
      <c r="R952" s="173"/>
    </row>
    <row r="953" ht="15.75" customHeight="1">
      <c r="B953" s="173"/>
      <c r="E953" s="173"/>
      <c r="Q953" s="173"/>
      <c r="R953" s="173"/>
    </row>
    <row r="954" ht="15.75" customHeight="1">
      <c r="B954" s="173"/>
      <c r="E954" s="173"/>
      <c r="Q954" s="173"/>
      <c r="R954" s="173"/>
    </row>
    <row r="955" ht="15.75" customHeight="1">
      <c r="B955" s="173"/>
      <c r="E955" s="173"/>
      <c r="Q955" s="173"/>
      <c r="R955" s="173"/>
    </row>
    <row r="956" ht="15.75" customHeight="1">
      <c r="B956" s="173"/>
      <c r="E956" s="173"/>
      <c r="Q956" s="173"/>
      <c r="R956" s="173"/>
    </row>
    <row r="957" ht="15.75" customHeight="1">
      <c r="B957" s="173"/>
      <c r="E957" s="173"/>
      <c r="Q957" s="173"/>
      <c r="R957" s="173"/>
    </row>
    <row r="958" ht="15.75" customHeight="1">
      <c r="B958" s="173"/>
      <c r="E958" s="173"/>
      <c r="Q958" s="173"/>
      <c r="R958" s="173"/>
    </row>
    <row r="959" ht="15.75" customHeight="1">
      <c r="B959" s="173"/>
      <c r="E959" s="173"/>
      <c r="Q959" s="173"/>
      <c r="R959" s="173"/>
    </row>
    <row r="960" ht="15.75" customHeight="1">
      <c r="B960" s="173"/>
      <c r="E960" s="173"/>
      <c r="Q960" s="173"/>
      <c r="R960" s="173"/>
    </row>
    <row r="961" ht="15.75" customHeight="1">
      <c r="B961" s="173"/>
      <c r="E961" s="173"/>
      <c r="Q961" s="173"/>
      <c r="R961" s="173"/>
    </row>
    <row r="962" ht="15.75" customHeight="1">
      <c r="B962" s="173"/>
      <c r="E962" s="173"/>
      <c r="Q962" s="173"/>
      <c r="R962" s="173"/>
    </row>
    <row r="963" ht="15.75" customHeight="1">
      <c r="B963" s="173"/>
      <c r="E963" s="173"/>
      <c r="Q963" s="173"/>
      <c r="R963" s="173"/>
    </row>
    <row r="964" ht="15.75" customHeight="1">
      <c r="B964" s="173"/>
      <c r="E964" s="173"/>
      <c r="Q964" s="173"/>
      <c r="R964" s="173"/>
    </row>
    <row r="965" ht="15.75" customHeight="1">
      <c r="B965" s="173"/>
      <c r="E965" s="173"/>
      <c r="Q965" s="173"/>
      <c r="R965" s="173"/>
    </row>
    <row r="966" ht="15.75" customHeight="1">
      <c r="B966" s="173"/>
      <c r="E966" s="173"/>
      <c r="Q966" s="173"/>
      <c r="R966" s="173"/>
    </row>
    <row r="967" ht="15.75" customHeight="1">
      <c r="B967" s="173"/>
      <c r="E967" s="173"/>
      <c r="Q967" s="173"/>
      <c r="R967" s="173"/>
    </row>
    <row r="968" ht="15.75" customHeight="1">
      <c r="B968" s="173"/>
      <c r="E968" s="173"/>
      <c r="Q968" s="173"/>
      <c r="R968" s="173"/>
    </row>
    <row r="969" ht="15.75" customHeight="1">
      <c r="B969" s="173"/>
      <c r="E969" s="173"/>
      <c r="Q969" s="173"/>
      <c r="R969" s="173"/>
    </row>
    <row r="970" ht="15.75" customHeight="1">
      <c r="B970" s="173"/>
      <c r="E970" s="173"/>
      <c r="Q970" s="173"/>
      <c r="R970" s="173"/>
    </row>
    <row r="971" ht="15.75" customHeight="1">
      <c r="B971" s="173"/>
      <c r="E971" s="173"/>
      <c r="Q971" s="173"/>
      <c r="R971" s="173"/>
    </row>
    <row r="972" ht="15.75" customHeight="1">
      <c r="B972" s="173"/>
      <c r="E972" s="173"/>
      <c r="Q972" s="173"/>
      <c r="R972" s="173"/>
    </row>
    <row r="973" ht="15.75" customHeight="1">
      <c r="B973" s="173"/>
      <c r="E973" s="173"/>
      <c r="Q973" s="173"/>
      <c r="R973" s="173"/>
    </row>
    <row r="974" ht="15.75" customHeight="1">
      <c r="B974" s="173"/>
      <c r="E974" s="173"/>
      <c r="Q974" s="173"/>
      <c r="R974" s="173"/>
    </row>
    <row r="975" ht="15.75" customHeight="1">
      <c r="B975" s="173"/>
      <c r="E975" s="173"/>
      <c r="Q975" s="173"/>
      <c r="R975" s="173"/>
    </row>
    <row r="976" ht="15.75" customHeight="1">
      <c r="B976" s="173"/>
      <c r="E976" s="173"/>
      <c r="Q976" s="173"/>
      <c r="R976" s="173"/>
    </row>
    <row r="977" ht="15.75" customHeight="1">
      <c r="B977" s="173"/>
      <c r="E977" s="173"/>
      <c r="Q977" s="173"/>
      <c r="R977" s="173"/>
    </row>
    <row r="978" ht="15.75" customHeight="1">
      <c r="B978" s="173"/>
      <c r="E978" s="173"/>
      <c r="Q978" s="173"/>
      <c r="R978" s="173"/>
    </row>
    <row r="979" ht="15.75" customHeight="1">
      <c r="B979" s="173"/>
      <c r="E979" s="173"/>
      <c r="Q979" s="173"/>
      <c r="R979" s="173"/>
    </row>
    <row r="980" ht="15.75" customHeight="1">
      <c r="B980" s="173"/>
      <c r="E980" s="173"/>
      <c r="Q980" s="173"/>
      <c r="R980" s="173"/>
    </row>
    <row r="981" ht="15.75" customHeight="1">
      <c r="B981" s="173"/>
      <c r="E981" s="173"/>
      <c r="Q981" s="173"/>
      <c r="R981" s="173"/>
    </row>
    <row r="982" ht="15.75" customHeight="1">
      <c r="B982" s="173"/>
      <c r="E982" s="173"/>
      <c r="Q982" s="173"/>
      <c r="R982" s="173"/>
    </row>
    <row r="983" ht="15.75" customHeight="1">
      <c r="B983" s="173"/>
      <c r="E983" s="173"/>
      <c r="Q983" s="173"/>
      <c r="R983" s="173"/>
    </row>
    <row r="984" ht="15.75" customHeight="1">
      <c r="B984" s="173"/>
      <c r="E984" s="173"/>
      <c r="Q984" s="173"/>
      <c r="R984" s="173"/>
    </row>
    <row r="985" ht="15.75" customHeight="1">
      <c r="B985" s="173"/>
      <c r="E985" s="173"/>
      <c r="Q985" s="173"/>
      <c r="R985" s="173"/>
    </row>
    <row r="986" ht="15.75" customHeight="1">
      <c r="B986" s="173"/>
      <c r="E986" s="173"/>
      <c r="Q986" s="173"/>
      <c r="R986" s="173"/>
    </row>
    <row r="987" ht="15.75" customHeight="1">
      <c r="B987" s="173"/>
      <c r="E987" s="173"/>
      <c r="Q987" s="173"/>
      <c r="R987" s="173"/>
    </row>
    <row r="988" ht="15.75" customHeight="1">
      <c r="B988" s="173"/>
      <c r="E988" s="173"/>
      <c r="Q988" s="173"/>
      <c r="R988" s="173"/>
    </row>
    <row r="989" ht="15.75" customHeight="1">
      <c r="B989" s="173"/>
      <c r="E989" s="173"/>
      <c r="Q989" s="173"/>
      <c r="R989" s="173"/>
    </row>
    <row r="990" ht="15.75" customHeight="1">
      <c r="B990" s="173"/>
      <c r="E990" s="173"/>
      <c r="Q990" s="173"/>
      <c r="R990" s="173"/>
    </row>
    <row r="991" ht="15.75" customHeight="1">
      <c r="B991" s="173"/>
      <c r="E991" s="173"/>
      <c r="Q991" s="173"/>
      <c r="R991" s="173"/>
    </row>
    <row r="992" ht="15.75" customHeight="1">
      <c r="B992" s="173"/>
      <c r="E992" s="173"/>
      <c r="Q992" s="173"/>
      <c r="R992" s="173"/>
    </row>
    <row r="993" ht="15.75" customHeight="1">
      <c r="B993" s="173"/>
      <c r="E993" s="173"/>
      <c r="Q993" s="173"/>
      <c r="R993" s="173"/>
    </row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1:U1"/>
  </mergeCells>
  <conditionalFormatting sqref="A3:Q1006 R3:R7 S3:T1006 U3:U7 V3:V5 R9:R27 U9:U1006 V9:V17 V20 R29:R32 R35 R37:R1006">
    <cfRule type="expression" dxfId="4" priority="1" stopIfTrue="1">
      <formula>AND($H3&lt;TODAY(),$Q3&lt;&gt;"Completed",$Q3&lt;&gt;"Closed",$Q3&lt;&gt;"Dropped",$H3&lt;&gt;"")</formula>
    </cfRule>
  </conditionalFormatting>
  <conditionalFormatting sqref="A3:Q1006 R3:R7 S3:T1006 U3:U7 V3:V5 R9:R27 U9:U1006 V9:V17 V20 R29:R32 R35 R37:R1006">
    <cfRule type="expression" dxfId="5" priority="2" stopIfTrue="1">
      <formula>AND($H3&gt;=TODAY(),$H3&lt;=TODAY()+7,$Q3&lt;&gt;"Completed",$Q3&lt;&gt;"Closed",$H3&lt;&gt;"")</formula>
    </cfRule>
  </conditionalFormatting>
  <conditionalFormatting sqref="A3:Q1006 R3:R7 S3:T1006 U3:U7 V3:V5 R9:R27 U9:U1006 V9:V17 V20 R29:R32 R35 R37:R1006">
    <cfRule type="expression" dxfId="6" priority="3" stopIfTrue="1">
      <formula>OR($Q3="Completed",$Q3="Closed",$Q3="Dropped")</formula>
    </cfRule>
  </conditionalFormatting>
  <conditionalFormatting sqref="Q3:Q1006">
    <cfRule type="cellIs" dxfId="7" priority="4" stopIfTrue="1" operator="equal">
      <formula>"Active"</formula>
    </cfRule>
  </conditionalFormatting>
  <conditionalFormatting sqref="Q3:Q1006">
    <cfRule type="cellIs" dxfId="8" priority="5" stopIfTrue="1" operator="equal">
      <formula>"Under Appeal"</formula>
    </cfRule>
  </conditionalFormatting>
  <dataValidations>
    <dataValidation type="list" allowBlank="1" sqref="B2:B993">
      <formula1>"Andhra Pradesh,Assam,Bihar,Chandigarh,Delhi,Haryana,Himachal Pradesh,Jharkhand,Karnataka,Kerala,Maharashtra,Odisha,Punjab,Rajasthan,Tamil Nadu,Telangana,Uttar Pradesh,Uttarakhand,West Bengal"</formula1>
    </dataValidation>
    <dataValidation type="list" allowBlank="1" sqref="E2:E993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Q2:Q993">
      <formula1>"Active,Pending Reply,Pending Order,Under Appeal,Completed,Closed,Dropped"</formula1>
    </dataValidation>
    <dataValidation type="list" allowBlank="1" sqref="R2 V4 R4:R7 V9 R9:R13 R15 R18:R19 R21:R27 R29:R32 R35 R37:R993">
      <formula1>"Pending,Reply Filed,Reply Pending,Order Pending,Order Issued,Order Dropped,Appeal Filed,Appeal Admitted,Completed,No Record Found,WRIT FILED AT HIGH CRT"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14.88"/>
    <col customWidth="1" min="3" max="4" width="15.13"/>
    <col customWidth="1" min="5" max="5" width="14.38"/>
    <col customWidth="1" min="6" max="6" width="17.63"/>
    <col customWidth="1" min="7" max="7" width="14.75"/>
    <col customWidth="1" min="8" max="8" width="15.13"/>
    <col customWidth="1" min="9" max="9" width="14.0"/>
    <col customWidth="1" min="10" max="10" width="17.13"/>
    <col customWidth="1" min="11" max="11" width="16.25"/>
    <col customWidth="1" min="12" max="13" width="15.13"/>
  </cols>
  <sheetData>
    <row r="1" ht="41.25" customHeight="1">
      <c r="A1" s="1" t="s">
        <v>300</v>
      </c>
    </row>
    <row r="2" ht="15.75" customHeight="1">
      <c r="A2" s="3" t="s">
        <v>301</v>
      </c>
      <c r="B2" s="4">
        <f>NOW()</f>
        <v>46221.29729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7.5" customHeight="1"/>
    <row r="4" ht="15.75" customHeight="1">
      <c r="A4" s="174" t="s">
        <v>302</v>
      </c>
    </row>
    <row r="5" ht="15.75" customHeight="1">
      <c r="A5" s="175" t="s">
        <v>303</v>
      </c>
      <c r="B5" s="176" t="s">
        <v>304</v>
      </c>
      <c r="C5" s="177" t="s">
        <v>305</v>
      </c>
      <c r="D5" s="23"/>
      <c r="F5" s="178" t="s">
        <v>306</v>
      </c>
      <c r="G5" s="179" t="s">
        <v>307</v>
      </c>
      <c r="H5" s="180" t="s">
        <v>308</v>
      </c>
      <c r="J5" s="181" t="s">
        <v>309</v>
      </c>
      <c r="K5" s="182" t="s">
        <v>310</v>
      </c>
    </row>
    <row r="6" ht="15.75" customHeight="1">
      <c r="A6" s="183">
        <v>11.0</v>
      </c>
      <c r="B6" s="184">
        <f>SUM('📋 All Notices'!I3:I1006)+SUM('📋 All Notices'!J3:J1006)+SUM('📋 All Notices'!K3:K1006)</f>
        <v>301051496</v>
      </c>
      <c r="C6" s="185">
        <f>SUM('📋 All Notices'!O3:O1006)</f>
        <v>625905979.5</v>
      </c>
      <c r="D6" s="186"/>
      <c r="F6" s="187">
        <f>SUM('📋 All Notices'!L3:L1006)</f>
        <v>99631052.93</v>
      </c>
      <c r="G6" s="188">
        <f>SUM('📋 All Notices'!M3:M1006)</f>
        <v>223571190.6</v>
      </c>
      <c r="H6" s="189">
        <f>SUM('📋 All Notices'!N3:N1006)</f>
        <v>1652240</v>
      </c>
      <c r="J6" s="190">
        <f>SUM('📋 All Notices'!P3:P1006)</f>
        <v>6030483</v>
      </c>
      <c r="K6" s="191">
        <f>COUNTIF('📋 All Notices'!Q3:Q1006,"*Active*")</f>
        <v>31</v>
      </c>
    </row>
    <row r="7" ht="15.75" customHeight="1"/>
    <row r="8" ht="11.25" customHeight="1"/>
    <row r="9" ht="15.75" customHeight="1">
      <c r="A9" s="192" t="s">
        <v>311</v>
      </c>
      <c r="F9" s="193" t="s">
        <v>312</v>
      </c>
      <c r="J9" s="194" t="s">
        <v>313</v>
      </c>
    </row>
    <row r="10" ht="15.75" customHeight="1">
      <c r="A10" s="195" t="s">
        <v>60</v>
      </c>
      <c r="B10" s="195" t="s">
        <v>314</v>
      </c>
      <c r="C10" s="195" t="s">
        <v>315</v>
      </c>
      <c r="D10" s="195" t="s">
        <v>10</v>
      </c>
      <c r="F10" s="196" t="s">
        <v>20</v>
      </c>
      <c r="G10" s="196" t="s">
        <v>314</v>
      </c>
      <c r="H10" s="196" t="s">
        <v>10</v>
      </c>
      <c r="J10" s="197" t="s">
        <v>316</v>
      </c>
      <c r="K10" s="197" t="s">
        <v>314</v>
      </c>
      <c r="L10" s="197" t="s">
        <v>315</v>
      </c>
      <c r="M10" s="197" t="s">
        <v>10</v>
      </c>
    </row>
    <row r="11" ht="15.75" customHeight="1">
      <c r="A11" s="126" t="s">
        <v>173</v>
      </c>
      <c r="B11" s="126">
        <f>COUNTIF('📋 All Notices'!Q3:Q1006,"*Active*")</f>
        <v>31</v>
      </c>
      <c r="C11" s="113">
        <f>SUMIF('📋 All Notices'!Q3:Q1006,"*Active*",'📋 All Notices'!I3:I1006)+SUMIF('📋 All Notices'!Q3:Q1006,"*Active*",'📋 All Notices'!J3:J1006)+SUMIF('📋 All Notices'!Q3:Q1006,"*Active*",'📋 All Notices'!K3:K1006)</f>
        <v>299764181</v>
      </c>
      <c r="D11" s="113">
        <f>SUMIF('📋 All Notices'!Q3:Q1006,"*Active*",'📋 All Notices'!O3:O1006)</f>
        <v>624506720.5</v>
      </c>
      <c r="F11" s="126" t="s">
        <v>246</v>
      </c>
      <c r="G11" s="126">
        <f>COUNTIF('📋 All Notices'!E3:E1006,"*DRC-01*")</f>
        <v>4</v>
      </c>
      <c r="H11" s="113">
        <f>SUMIF('📋 All Notices'!E3:E1006,"*DRC-01*",'📋 All Notices'!O3:O1006)</f>
        <v>7416171</v>
      </c>
      <c r="J11" s="126" t="s">
        <v>126</v>
      </c>
      <c r="K11" s="126">
        <f>COUNTIF('📋 All Notices'!F3:F1006,"*2024-25*")</f>
        <v>1</v>
      </c>
      <c r="L11" s="113">
        <f>SUMIF('📋 All Notices'!F3:F1006,"*2024-25*",'📋 All Notices'!I3:I1006)+SUMIF('📋 All Notices'!F3:F1006,"*2024-25*",'📋 All Notices'!J3:J1006)+SUMIF('📋 All Notices'!F3:F1006,"*2024-25*",'📋 All Notices'!K3:K1006)</f>
        <v>100598</v>
      </c>
      <c r="M11" s="113">
        <f>SUMIF('📋 All Notices'!F3:F1006,"*2024-25*",'📋 All Notices'!O3:O1006)</f>
        <v>121220</v>
      </c>
    </row>
    <row r="12" ht="15.75" customHeight="1">
      <c r="A12" s="126" t="s">
        <v>26</v>
      </c>
      <c r="B12" s="126">
        <f>COUNTIF('📋 All Notices'!Q3:Q1006,"*Completed*")</f>
        <v>1</v>
      </c>
      <c r="C12" s="113">
        <f>SUMIF('📋 All Notices'!Q3:Q1006,"*Completed*",'📋 All Notices'!I3:I1006)+SUMIF('📋 All Notices'!Q3:Q1006,"*Completed*",'📋 All Notices'!J3:J1006)+SUMIF('📋 All Notices'!Q3:Q1006,"*Completed*",'📋 All Notices'!K3:K1006)</f>
        <v>1213140</v>
      </c>
      <c r="D12" s="113">
        <f>SUMIF('📋 All Notices'!Q3:Q1006,"*Completed*",'📋 All Notices'!O3:O1006)</f>
        <v>1213140</v>
      </c>
      <c r="F12" s="126" t="s">
        <v>39</v>
      </c>
      <c r="G12" s="121">
        <v>6.0</v>
      </c>
      <c r="H12" s="113">
        <f>SUMIF('📋 All Notices'!E3:E1006,"APL-01 (Appeal Filed)",'📋 All Notices'!O3:O1006)</f>
        <v>152429314.5</v>
      </c>
      <c r="J12" s="126" t="s">
        <v>254</v>
      </c>
      <c r="K12" s="126">
        <f>COUNTIF('📋 All Notices'!F3:F1006,"*2023-24*")</f>
        <v>2</v>
      </c>
      <c r="L12" s="113">
        <f>SUMIF('📋 All Notices'!F3:F1006,"*2023-24*",'📋 All Notices'!I3:I1006)+SUMIF('📋 All Notices'!F3:F1006,"*2023-24*",'📋 All Notices'!J3:J1006)+SUMIF('📋 All Notices'!F3:F1006,"*2023-24*",'📋 All Notices'!K3:K1006)</f>
        <v>2319011</v>
      </c>
      <c r="M12" s="113">
        <f>SUMIF('📋 All Notices'!F3:F1006,"*2023-24*",'📋 All Notices'!O3:O1006)</f>
        <v>4680607</v>
      </c>
    </row>
    <row r="13" ht="15.75" customHeight="1">
      <c r="A13" s="126" t="s">
        <v>317</v>
      </c>
      <c r="B13" s="126">
        <f>COUNTIF('📋 All Notices'!R3:R1006,"*Appeal Filed*")</f>
        <v>5</v>
      </c>
      <c r="C13" s="113">
        <f>SUMIF('📋 All Notices'!Q3:Q1006,"*Under Appeal*",'📋 All Notices'!I3:I1006)+SUMIF('📋 All Notices'!Q3:Q1006,"*Under Appeal*",'📋 All Notices'!J3:J1006)+SUMIF('📋 All Notices'!Q3:Q1006,"*Under Appeal*",'📋 All Notices'!K3:K1006)</f>
        <v>0</v>
      </c>
      <c r="D13" s="113">
        <f>SUMIF('📋 All Notices'!R3:R1006,"*Appeal Filed*",'📋 All Notices'!O3:O1006)</f>
        <v>46236348.53</v>
      </c>
      <c r="F13" s="126" t="s">
        <v>318</v>
      </c>
      <c r="G13" s="126">
        <f>COUNTIF('📋 All Notices'!E3:E1006,"*DRC-01B*")</f>
        <v>0</v>
      </c>
      <c r="H13" s="113">
        <f>SUMIF('📋 All Notices'!E3:E1006,"*DRC-01B*",'📋 All Notices'!O3:O1006)</f>
        <v>0</v>
      </c>
      <c r="J13" s="126" t="s">
        <v>139</v>
      </c>
      <c r="K13" s="126">
        <f>COUNTIF('📋 All Notices'!F3:F1006,"*2022-23*")</f>
        <v>3</v>
      </c>
      <c r="L13" s="113">
        <f>SUMIF('📋 All Notices'!F3:F1006,"*2022-23*",'📋 All Notices'!I3:I1006)+SUMIF('📋 All Notices'!F3:F1006,"*2022-23*",'📋 All Notices'!J3:J1006)+SUMIF('📋 All Notices'!F3:F1006,"*2022-23*",'📋 All Notices'!K3:K1006)</f>
        <v>8856288</v>
      </c>
      <c r="M13" s="113">
        <f>SUMIF('📋 All Notices'!F3:F1006,"*2022-23*",'📋 All Notices'!O3:O1006)</f>
        <v>11071284</v>
      </c>
    </row>
    <row r="14" ht="15.75" customHeight="1">
      <c r="A14" s="126" t="s">
        <v>319</v>
      </c>
      <c r="B14" s="126">
        <f>COUNTIF('📋 All Notices'!Q3:Q1006,"*Dropped*")</f>
        <v>0</v>
      </c>
      <c r="C14" s="113">
        <f>SUMIF('📋 All Notices'!Q3:Q1006,"*Dropped*",'📋 All Notices'!I3:I1006)+SUMIF('📋 All Notices'!Q3:Q1006,"*Dropped*",'📋 All Notices'!J3:J1006)+SUMIF('📋 All Notices'!Q3:Q1006,"*Dropped*",'📋 All Notices'!K3:K1006)</f>
        <v>0</v>
      </c>
      <c r="D14" s="113">
        <f>SUMIF('📋 All Notices'!Q3:Q1006,"*Dropped*",'📋 All Notices'!O3:O1006)</f>
        <v>0</v>
      </c>
      <c r="F14" s="126" t="s">
        <v>320</v>
      </c>
      <c r="G14" s="126">
        <f>COUNTIF('📋 All Notices'!E3:E1006,"*DRC-03*")</f>
        <v>0</v>
      </c>
      <c r="H14" s="113">
        <f>SUMIF('📋 All Notices'!E3:E1006,"*DRC-03*",'📋 All Notices'!O3:O1006)</f>
        <v>0</v>
      </c>
      <c r="J14" s="126" t="s">
        <v>91</v>
      </c>
      <c r="K14" s="126">
        <f>COUNTIF('📋 All Notices'!F3:F1006,"*2021-22*")</f>
        <v>3</v>
      </c>
      <c r="L14" s="113">
        <f>SUMIF('📋 All Notices'!F3:F1006,"*2021-22*",'📋 All Notices'!I3:I1006)+SUMIF('📋 All Notices'!F3:F1006,"*2021-22*",'📋 All Notices'!J3:J1006)+SUMIF('📋 All Notices'!F3:F1006,"*2021-22*",'📋 All Notices'!K3:K1006)</f>
        <v>136921</v>
      </c>
      <c r="M14" s="113">
        <f>SUMIF('📋 All Notices'!F3:F1006,"*2021-22*",'📋 All Notices'!O3:O1006)</f>
        <v>311753</v>
      </c>
    </row>
    <row r="15" ht="15.75" customHeight="1">
      <c r="A15" s="126" t="s">
        <v>94</v>
      </c>
      <c r="B15" s="126">
        <f>COUNTIF('📋 All Notices'!R3:R1006,"*Order Pending*")</f>
        <v>1</v>
      </c>
      <c r="C15" s="113">
        <f>SUMIF('📋 All Notices'!Q3:Q1006,"*Pending Reply*",'📋 All Notices'!I3:I1006)+SUMIF('📋 All Notices'!Q3:Q1006,"*Pending Reply*",'📋 All Notices'!J3:J1006)+SUMIF('📋 All Notices'!Q3:Q1006,"*Pending Reply*",'📋 All Notices'!K3:K1006)</f>
        <v>0</v>
      </c>
      <c r="D15" s="113">
        <f>SUMIF('📋 All Notices'!R3:R1006,"*Order Pending*",'📋 All Notices'!O3:O1006)</f>
        <v>1213140</v>
      </c>
      <c r="F15" s="126" t="s">
        <v>178</v>
      </c>
      <c r="G15" s="126">
        <f>COUNTIF('📋 All Notices'!E3:E1006,"*DRC-07*")</f>
        <v>16</v>
      </c>
      <c r="H15" s="113">
        <f>SUMIF('📋 All Notices'!E3:E1006,"*DRC-07*",'📋 All Notices'!O3:O1006)</f>
        <v>419924495</v>
      </c>
      <c r="J15" s="126" t="s">
        <v>110</v>
      </c>
      <c r="K15" s="126">
        <f>COUNTIF('📋 All Notices'!F3:F1006,"*2020-21*")</f>
        <v>3</v>
      </c>
      <c r="L15" s="113">
        <f>SUMIF('📋 All Notices'!F3:F1006,"*2020-21*",'📋 All Notices'!I3:I1006)+SUMIF('📋 All Notices'!F3:F1006,"*2020-21*",'📋 All Notices'!J3:J1006)+SUMIF('📋 All Notices'!F3:F1006,"*2020-21*",'📋 All Notices'!K3:K1006)</f>
        <v>1204027</v>
      </c>
      <c r="M15" s="113">
        <f>SUMIF('📋 All Notices'!F3:F1006,"*2020-21*",'📋 All Notices'!O3:O1006)</f>
        <v>4003386</v>
      </c>
    </row>
    <row r="16" ht="15.75" customHeight="1">
      <c r="A16" s="121" t="s">
        <v>321</v>
      </c>
      <c r="B16" s="126">
        <f>COUNTIF('📋 All Notices'!R3:R1006,"Order Issued")</f>
        <v>0</v>
      </c>
      <c r="C16" s="126">
        <f>COUNTIF('📋 All Notices'!S3:S1006,"Order Issued")</f>
        <v>0</v>
      </c>
      <c r="D16" s="113">
        <f>SUMIF('📋 All Notices'!R3:R1007,"*Order Issued*",'📋 All Notices'!O3:O1006)</f>
        <v>0</v>
      </c>
      <c r="F16" s="126" t="s">
        <v>37</v>
      </c>
      <c r="G16" s="126">
        <f>COUNTIF('📋 All Notices'!E3:E1006,"*ASMT-10*")</f>
        <v>2</v>
      </c>
      <c r="H16" s="113">
        <f>SUMIF('📋 All Notices'!E3:E1006,"*ASMT-10*",'📋 All Notices'!O3:O1006)</f>
        <v>8349118</v>
      </c>
      <c r="J16" s="126" t="s">
        <v>99</v>
      </c>
      <c r="K16" s="126">
        <f>COUNTIF('📋 All Notices'!F3:F1006,"*2019-20*")</f>
        <v>3</v>
      </c>
      <c r="L16" s="113">
        <f>SUMIF('📋 All Notices'!F3:F1006,"*2019-20*",'📋 All Notices'!I3:I1006)+SUMIF('📋 All Notices'!F3:F1006,"*2019-20*",'📋 All Notices'!J3:J1006)+SUMIF('📋 All Notices'!F3:F1006,"*2019-20*",'📋 All Notices'!K3:K1006)</f>
        <v>52979017</v>
      </c>
      <c r="M16" s="113">
        <f>SUMIF('📋 All Notices'!F3:F1006,"*2019-20*",'📋 All Notices'!O3:O1006)</f>
        <v>109903632</v>
      </c>
    </row>
    <row r="17" ht="15.75" customHeight="1">
      <c r="A17" s="195" t="s">
        <v>322</v>
      </c>
      <c r="B17" s="195">
        <f t="shared" ref="B17:D17" si="1">SUM(B11:B16)</f>
        <v>38</v>
      </c>
      <c r="C17" s="198">
        <f t="shared" si="1"/>
        <v>300977321</v>
      </c>
      <c r="D17" s="198">
        <f t="shared" si="1"/>
        <v>673169349.1</v>
      </c>
      <c r="F17" s="126" t="s">
        <v>323</v>
      </c>
      <c r="G17" s="126">
        <f>COUNTIF('📋 All Notices'!E3:E1006,"*MOV-09*")</f>
        <v>0</v>
      </c>
      <c r="H17" s="113">
        <f>SUMIF('📋 All Notices'!E3:E1006,"*MOV-09*",'📋 All Notices'!O3:O1006)</f>
        <v>0</v>
      </c>
      <c r="J17" s="126" t="s">
        <v>132</v>
      </c>
      <c r="K17" s="126">
        <f>COUNTIF('📋 All Notices'!F3:F1006,"*2018-19*")</f>
        <v>8</v>
      </c>
      <c r="L17" s="113">
        <f>SUMIF('📋 All Notices'!F3:F1006,"*2018-19*",'📋 All Notices'!I3:I1006)+SUMIF('📋 All Notices'!F3:F1006,"*2018-19*",'📋 All Notices'!J3:J1006)+SUMIF('📋 All Notices'!F3:F1006,"*2018-19*",'📋 All Notices'!K3:K1006)</f>
        <v>6627558</v>
      </c>
      <c r="M17" s="113">
        <f>SUMIF('📋 All Notices'!F3:F1006,"*2018-19*",'📋 All Notices'!O3:O1006)</f>
        <v>13329602</v>
      </c>
    </row>
    <row r="18" ht="15.75" customHeight="1">
      <c r="F18" s="196" t="s">
        <v>322</v>
      </c>
      <c r="G18" s="196">
        <f t="shared" ref="G18:H18" si="2">SUM(G11:G17)</f>
        <v>28</v>
      </c>
      <c r="H18" s="199">
        <f t="shared" si="2"/>
        <v>588119098.5</v>
      </c>
      <c r="J18" s="126" t="s">
        <v>116</v>
      </c>
      <c r="K18" s="126">
        <f>COUNTIF('📋 All Notices'!F3:F1006,"*2017-18*")</f>
        <v>11</v>
      </c>
      <c r="L18" s="113">
        <f>SUMIF('📋 All Notices'!F3:F1006,"*2017-18*",'📋 All Notices'!I3:I1006)+SUMIF('📋 All Notices'!F3:F1006,"*2017-18*",'📋 All Notices'!J3:J1006)+SUMIF('📋 All Notices'!F3:F1006,"*2017-18*",'📋 All Notices'!K3:K1006)</f>
        <v>228828076</v>
      </c>
      <c r="M18" s="113">
        <f>SUMIF('📋 All Notices'!F3:F1006,"*2017-18*",'📋 All Notices'!O3:O1006)</f>
        <v>482484495.5</v>
      </c>
    </row>
    <row r="19" ht="15.75" customHeight="1">
      <c r="J19" s="197" t="s">
        <v>322</v>
      </c>
      <c r="K19" s="197">
        <f t="shared" ref="K19:M19" si="3">SUM(K11:K18)</f>
        <v>34</v>
      </c>
      <c r="L19" s="200">
        <f t="shared" si="3"/>
        <v>301051496</v>
      </c>
      <c r="M19" s="200">
        <f t="shared" si="3"/>
        <v>625905979.5</v>
      </c>
    </row>
    <row r="20" ht="15.75" customHeight="1"/>
    <row r="21" ht="11.25" customHeight="1"/>
    <row r="22" ht="15.75" customHeight="1">
      <c r="A22" s="201" t="s">
        <v>324</v>
      </c>
    </row>
    <row r="23" ht="15.75" customHeight="1">
      <c r="A23" s="202" t="s">
        <v>24</v>
      </c>
      <c r="B23" s="202" t="s">
        <v>25</v>
      </c>
      <c r="C23" s="202" t="s">
        <v>71</v>
      </c>
      <c r="D23" s="202" t="s">
        <v>72</v>
      </c>
      <c r="E23" s="202" t="s">
        <v>73</v>
      </c>
      <c r="F23" s="202" t="s">
        <v>315</v>
      </c>
      <c r="G23" s="202" t="s">
        <v>325</v>
      </c>
      <c r="H23" s="202" t="s">
        <v>326</v>
      </c>
      <c r="I23" s="202" t="s">
        <v>327</v>
      </c>
      <c r="J23" s="202" t="s">
        <v>10</v>
      </c>
      <c r="K23" s="202" t="s">
        <v>328</v>
      </c>
      <c r="L23" s="202" t="s">
        <v>173</v>
      </c>
      <c r="M23" s="202"/>
    </row>
    <row r="24" ht="15.75" customHeight="1">
      <c r="A24" s="203" t="s">
        <v>28</v>
      </c>
      <c r="B24" s="203">
        <f>COUNTIF('📋 All Notices'!B3:B1006,"*Andhra Pradesh*")</f>
        <v>0</v>
      </c>
      <c r="C24" s="204">
        <f>SUMIF('📋 All Notices'!B3:B1006,"*Andhra Pradesh*",'📋 All Notices'!I3:I1006)</f>
        <v>0</v>
      </c>
      <c r="D24" s="204">
        <f>SUMIF('📋 All Notices'!B3:B1006,"*Andhra Pradesh*",'📋 All Notices'!J3:J1006)</f>
        <v>0</v>
      </c>
      <c r="E24" s="204">
        <f>SUMIF('📋 All Notices'!B3:B1006,"*Andhra Pradesh*",'📋 All Notices'!K3:K1006)</f>
        <v>0</v>
      </c>
      <c r="F24" s="204">
        <f t="shared" ref="F24:F42" si="4">C24+D24+E24</f>
        <v>0</v>
      </c>
      <c r="G24" s="204">
        <f>SUMIF('📋 All Notices'!B3:B1006,"*Andhra Pradesh*",'📋 All Notices'!L3:L1006)</f>
        <v>0</v>
      </c>
      <c r="H24" s="204">
        <f>SUMIF('📋 All Notices'!B3:B1006,"*Andhra Pradesh*",'📋 All Notices'!M3:M1006)</f>
        <v>0</v>
      </c>
      <c r="I24" s="204">
        <f>SUMIF('📋 All Notices'!B3:B1006,"*Andhra Pradesh*",'📋 All Notices'!N3:N1006)</f>
        <v>0</v>
      </c>
      <c r="J24" s="204">
        <f>SUMIF('📋 All Notices'!B3:B1006,"*Andhra Pradesh*",'📋 All Notices'!O3:O1006)</f>
        <v>0</v>
      </c>
      <c r="K24" s="204">
        <f>SUMIF('📋 All Notices'!B3:B1006,"*Andhra Pradesh*",'📋 All Notices'!P3:P1006)</f>
        <v>0</v>
      </c>
      <c r="L24" s="203">
        <f>COUNTIFS('📋 All Notices'!B3:B1006,"*Andhra Pradesh*",'📋 All Notices'!Q3:Q1006,"*Active*")</f>
        <v>0</v>
      </c>
      <c r="M24" s="203"/>
    </row>
    <row r="25" ht="15.75" customHeight="1">
      <c r="A25" s="126" t="s">
        <v>30</v>
      </c>
      <c r="B25" s="126">
        <f>COUNTIF('📋 All Notices'!B3:B1006,"*Assam*")</f>
        <v>0</v>
      </c>
      <c r="C25" s="113">
        <f>SUMIF('📋 All Notices'!B3:B1006,"*Assam*",'📋 All Notices'!I3:I1006)</f>
        <v>0</v>
      </c>
      <c r="D25" s="113">
        <f>SUMIF('📋 All Notices'!B3:B1006,"*Assam*",'📋 All Notices'!J3:J1006)</f>
        <v>0</v>
      </c>
      <c r="E25" s="113">
        <f>SUMIF('📋 All Notices'!B3:B1006,"*Assam*",'📋 All Notices'!K3:K1006)</f>
        <v>0</v>
      </c>
      <c r="F25" s="113">
        <f t="shared" si="4"/>
        <v>0</v>
      </c>
      <c r="G25" s="113">
        <f>SUMIF('📋 All Notices'!B3:B1006,"*Assam*",'📋 All Notices'!L3:L1006)</f>
        <v>0</v>
      </c>
      <c r="H25" s="113">
        <f>SUMIF('📋 All Notices'!B3:B1006,"*Assam*",'📋 All Notices'!M3:M1006)</f>
        <v>0</v>
      </c>
      <c r="I25" s="113">
        <f>SUMIF('📋 All Notices'!B3:B1006,"*Assam*",'📋 All Notices'!N3:N1006)</f>
        <v>0</v>
      </c>
      <c r="J25" s="113">
        <f>SUMIF('📋 All Notices'!B3:B1006,"*Assam*",'📋 All Notices'!O3:O1006)</f>
        <v>0</v>
      </c>
      <c r="K25" s="113">
        <f>SUMIF('📋 All Notices'!B3:B1006,"*Assam*",'📋 All Notices'!P3:P1006)</f>
        <v>0</v>
      </c>
      <c r="L25" s="126">
        <f>COUNTIFS('📋 All Notices'!B3:B1006,"*Assam*",'📋 All Notices'!Q3:Q1006,"*Active*")</f>
        <v>0</v>
      </c>
    </row>
    <row r="26" ht="15.75" customHeight="1">
      <c r="A26" s="203" t="s">
        <v>32</v>
      </c>
      <c r="B26" s="203">
        <f>COUNTIF('📋 All Notices'!B3:B1006,"*Bihar*")</f>
        <v>0</v>
      </c>
      <c r="C26" s="204">
        <f>SUMIF('📋 All Notices'!B3:B1006,"*Bihar*",'📋 All Notices'!I3:I1006)</f>
        <v>0</v>
      </c>
      <c r="D26" s="204">
        <f>SUMIF('📋 All Notices'!B3:B1006,"*Bihar*",'📋 All Notices'!J3:J1006)</f>
        <v>0</v>
      </c>
      <c r="E26" s="204">
        <f>SUMIF('📋 All Notices'!B3:B1006,"*Bihar*",'📋 All Notices'!K3:K1006)</f>
        <v>0</v>
      </c>
      <c r="F26" s="204">
        <f t="shared" si="4"/>
        <v>0</v>
      </c>
      <c r="G26" s="204">
        <f>SUMIF('📋 All Notices'!B3:B1006,"*Bihar*",'📋 All Notices'!L3:L1006)</f>
        <v>0</v>
      </c>
      <c r="H26" s="204">
        <f>SUMIF('📋 All Notices'!B3:B1006,"*Bihar*",'📋 All Notices'!M3:M1006)</f>
        <v>0</v>
      </c>
      <c r="I26" s="204">
        <f>SUMIF('📋 All Notices'!B3:B1006,"*Bihar*",'📋 All Notices'!N3:N1006)</f>
        <v>0</v>
      </c>
      <c r="J26" s="204">
        <f>SUMIF('📋 All Notices'!B3:B1006,"*Bihar*",'📋 All Notices'!O3:O1006)</f>
        <v>0</v>
      </c>
      <c r="K26" s="204">
        <f>SUMIF('📋 All Notices'!B3:B1006,"*Bihar*",'📋 All Notices'!P3:P1006)</f>
        <v>0</v>
      </c>
      <c r="L26" s="203">
        <f>COUNTIFS('📋 All Notices'!B3:B1006,"*Bihar*",'📋 All Notices'!Q3:Q1006,"*Active*")</f>
        <v>0</v>
      </c>
      <c r="M26" s="203"/>
    </row>
    <row r="27" ht="15.75" customHeight="1">
      <c r="A27" s="126" t="s">
        <v>34</v>
      </c>
      <c r="B27" s="126">
        <f>COUNTIF('📋 All Notices'!B3:B1006,"*Chandigarh*")</f>
        <v>0</v>
      </c>
      <c r="C27" s="113">
        <f>SUMIF('📋 All Notices'!B3:B1006,"*Chandigarh*",'📋 All Notices'!I3:I1006)</f>
        <v>0</v>
      </c>
      <c r="D27" s="113">
        <f>SUMIF('📋 All Notices'!B3:B1006,"*Chandigarh*",'📋 All Notices'!J3:J1006)</f>
        <v>0</v>
      </c>
      <c r="E27" s="113">
        <f>SUMIF('📋 All Notices'!B3:B1006,"*Chandigarh*",'📋 All Notices'!K3:K1006)</f>
        <v>0</v>
      </c>
      <c r="F27" s="113">
        <f t="shared" si="4"/>
        <v>0</v>
      </c>
      <c r="G27" s="113">
        <f>SUMIF('📋 All Notices'!B3:B1006,"*Chandigarh*",'📋 All Notices'!L3:L1006)</f>
        <v>0</v>
      </c>
      <c r="H27" s="113">
        <f>SUMIF('📋 All Notices'!B3:B1006,"*Chandigarh*",'📋 All Notices'!M3:M1006)</f>
        <v>0</v>
      </c>
      <c r="I27" s="113">
        <f>SUMIF('📋 All Notices'!B3:B1006,"*Chandigarh*",'📋 All Notices'!N3:N1006)</f>
        <v>0</v>
      </c>
      <c r="J27" s="113">
        <f>SUMIF('📋 All Notices'!B3:B1006,"*Chandigarh*",'📋 All Notices'!O3:O1006)</f>
        <v>0</v>
      </c>
      <c r="K27" s="113">
        <f>SUMIF('📋 All Notices'!B3:B1006,"*Chandigarh*",'📋 All Notices'!P3:P1006)</f>
        <v>0</v>
      </c>
      <c r="L27" s="126">
        <f>COUNTIFS('📋 All Notices'!B3:B1006,"*Chandigarh*",'📋 All Notices'!Q3:Q1006,"*Active*")</f>
        <v>0</v>
      </c>
    </row>
    <row r="28" ht="15.75" customHeight="1">
      <c r="A28" s="203" t="s">
        <v>36</v>
      </c>
      <c r="B28" s="203">
        <f>COUNTIF('📋 All Notices'!B3:B1006,"*Delhi*")</f>
        <v>6</v>
      </c>
      <c r="C28" s="204">
        <f>SUMIF('📋 All Notices'!B3:B1006,"*Delhi*",'📋 All Notices'!I3:I1006)</f>
        <v>9270096</v>
      </c>
      <c r="D28" s="204">
        <f>SUMIF('📋 All Notices'!B3:B1006,"*Delhi*",'📋 All Notices'!J3:J1006)</f>
        <v>45121552</v>
      </c>
      <c r="E28" s="204">
        <f>SUMIF('📋 All Notices'!B3:B1006,"*Delhi*",'📋 All Notices'!K3:K1006)</f>
        <v>45121552</v>
      </c>
      <c r="F28" s="204">
        <f t="shared" si="4"/>
        <v>99513200</v>
      </c>
      <c r="G28" s="204">
        <f>SUMIF('📋 All Notices'!B3:B1006,"*Delhi*",'📋 All Notices'!L3:L1006)</f>
        <v>26853961</v>
      </c>
      <c r="H28" s="204">
        <f>SUMIF('📋 All Notices'!B3:B1006,"*Delhi*",'📋 All Notices'!M3:M1006)</f>
        <v>76618377</v>
      </c>
      <c r="I28" s="204">
        <f>SUMIF('📋 All Notices'!B3:B1006,"*Delhi*",'📋 All Notices'!N3:N1006)</f>
        <v>0</v>
      </c>
      <c r="J28" s="204">
        <f>SUMIF('📋 All Notices'!B3:B1006,"*Delhi*",'📋 All Notices'!O3:O1006)</f>
        <v>202985538</v>
      </c>
      <c r="K28" s="204">
        <f>SUMIF('📋 All Notices'!B3:B1006,"*Delhi*",'📋 All Notices'!P3:P1006)</f>
        <v>512452</v>
      </c>
      <c r="L28" s="203">
        <f>COUNTIFS('📋 All Notices'!B3:B1006,"*Delhi*",'📋 All Notices'!Q3:Q1006,"*Active*")</f>
        <v>5</v>
      </c>
      <c r="M28" s="203"/>
    </row>
    <row r="29" ht="15.75" customHeight="1">
      <c r="A29" s="126" t="s">
        <v>38</v>
      </c>
      <c r="B29" s="126">
        <f>COUNTIF('📋 All Notices'!B3:B1006,"*Haryana*")</f>
        <v>11</v>
      </c>
      <c r="C29" s="113">
        <f>SUMIF('📋 All Notices'!B3:B1006,"*Haryana*",'📋 All Notices'!I3:I1006)</f>
        <v>80551896</v>
      </c>
      <c r="D29" s="113">
        <f>SUMIF('📋 All Notices'!B3:B1006,"*Haryana*",'📋 All Notices'!J3:J1006)</f>
        <v>23745519</v>
      </c>
      <c r="E29" s="113">
        <f>SUMIF('📋 All Notices'!B3:B1006,"*Haryana*",'📋 All Notices'!K3:K1006)</f>
        <v>23745398</v>
      </c>
      <c r="F29" s="113">
        <f t="shared" si="4"/>
        <v>128042813</v>
      </c>
      <c r="G29" s="113">
        <f>SUMIF('📋 All Notices'!B3:B1006,"*Haryana*",'📋 All Notices'!L3:L1006)</f>
        <v>67863370.93</v>
      </c>
      <c r="H29" s="113">
        <f>SUMIF('📋 All Notices'!B3:B1006,"*Haryana*",'📋 All Notices'!M3:M1006)</f>
        <v>91495149.6</v>
      </c>
      <c r="I29" s="113">
        <f>SUMIF('📋 All Notices'!B3:B1006,"*Haryana*",'📋 All Notices'!N3:N1006)</f>
        <v>1652240</v>
      </c>
      <c r="J29" s="113">
        <f>SUMIF('📋 All Notices'!B3:B1006,"*Haryana*",'📋 All Notices'!O3:O1006)</f>
        <v>289053573.5</v>
      </c>
      <c r="K29" s="113">
        <f>SUMIF('📋 All Notices'!B3:B1006,"*Haryana*",'📋 All Notices'!P3:P1006)</f>
        <v>4568357</v>
      </c>
      <c r="L29" s="126">
        <f>COUNTIFS('📋 All Notices'!B3:B1006,"*Haryana*",'📋 All Notices'!Q3:Q1006,"*Active*")</f>
        <v>10</v>
      </c>
    </row>
    <row r="30" ht="15.75" customHeight="1">
      <c r="A30" s="203" t="s">
        <v>40</v>
      </c>
      <c r="B30" s="203">
        <f>COUNTIF('📋 All Notices'!B3:B1006,"*Himachal Pradesh*")</f>
        <v>1</v>
      </c>
      <c r="C30" s="204">
        <f>SUMIF('📋 All Notices'!B3:B1006,"*Himachal Pradesh*",'📋 All Notices'!I3:I1006)</f>
        <v>0</v>
      </c>
      <c r="D30" s="204">
        <f>SUMIF('📋 All Notices'!B3:B1006,"*Himachal Pradesh*",'📋 All Notices'!J3:J1006)</f>
        <v>50299</v>
      </c>
      <c r="E30" s="204">
        <f>SUMIF('📋 All Notices'!B3:B1006,"*Himachal Pradesh*",'📋 All Notices'!K3:K1006)</f>
        <v>50299</v>
      </c>
      <c r="F30" s="204">
        <f t="shared" si="4"/>
        <v>100598</v>
      </c>
      <c r="G30" s="204">
        <f>SUMIF('📋 All Notices'!B3:B1006,"*Himachal Pradesh*",'📋 All Notices'!L3:L1006)</f>
        <v>10562</v>
      </c>
      <c r="H30" s="204">
        <f>SUMIF('📋 All Notices'!B3:B1006,"*Himachal Pradesh*",'📋 All Notices'!M3:M1006)</f>
        <v>10060</v>
      </c>
      <c r="I30" s="204">
        <f>SUMIF('📋 All Notices'!B3:B1006,"*Himachal Pradesh*",'📋 All Notices'!N3:N1006)</f>
        <v>0</v>
      </c>
      <c r="J30" s="204">
        <f>SUMIF('📋 All Notices'!B3:B1006,"*Himachal Pradesh*",'📋 All Notices'!O3:O1006)</f>
        <v>121220</v>
      </c>
      <c r="K30" s="204">
        <f>SUMIF('📋 All Notices'!B3:B1006,"*Himachal Pradesh*",'📋 All Notices'!P3:P1006)</f>
        <v>10060</v>
      </c>
      <c r="L30" s="203">
        <f>COUNTIFS('📋 All Notices'!B3:B1006,"*Himachal Pradesh*",'📋 All Notices'!Q3:Q1006,"*Active*")</f>
        <v>1</v>
      </c>
      <c r="M30" s="203"/>
    </row>
    <row r="31" ht="15.75" customHeight="1">
      <c r="A31" s="126" t="s">
        <v>41</v>
      </c>
      <c r="B31" s="126">
        <f>COUNTIF('📋 All Notices'!B3:B1006,"*Jharkhand*")</f>
        <v>1</v>
      </c>
      <c r="C31" s="113">
        <f>SUMIF('📋 All Notices'!B3:B1006,"*Jharkhand*",'📋 All Notices'!I3:I1006)</f>
        <v>0</v>
      </c>
      <c r="D31" s="113">
        <f>SUMIF('📋 All Notices'!B3:B1006,"*Jharkhand*",'📋 All Notices'!J3:J1006)</f>
        <v>2454</v>
      </c>
      <c r="E31" s="113">
        <f>SUMIF('📋 All Notices'!B3:B1006,"*Jharkhand*",'📋 All Notices'!K3:K1006)</f>
        <v>2454</v>
      </c>
      <c r="F31" s="113">
        <f t="shared" si="4"/>
        <v>4908</v>
      </c>
      <c r="G31" s="113">
        <f>SUMIF('📋 All Notices'!B3:B1006,"*Jharkhand*",'📋 All Notices'!L3:L1006)</f>
        <v>0</v>
      </c>
      <c r="H31" s="113">
        <f>SUMIF('📋 All Notices'!B3:B1006,"*Jharkhand*",'📋 All Notices'!M3:M1006)</f>
        <v>4908</v>
      </c>
      <c r="I31" s="113">
        <f>SUMIF('📋 All Notices'!B3:B1006,"*Jharkhand*",'📋 All Notices'!N3:N1006)</f>
        <v>0</v>
      </c>
      <c r="J31" s="113">
        <f>SUMIF('📋 All Notices'!B3:B1006,"*Jharkhand*",'📋 All Notices'!O3:O1006)</f>
        <v>9816</v>
      </c>
      <c r="K31" s="113">
        <f>SUMIF('📋 All Notices'!B3:B1006,"*Jharkhand*",'📋 All Notices'!P3:P1006)</f>
        <v>0</v>
      </c>
      <c r="L31" s="126">
        <f>COUNTIFS('📋 All Notices'!B3:B1006,"*Jharkhand*",'📋 All Notices'!Q3:Q1006,"*Active*")</f>
        <v>1</v>
      </c>
    </row>
    <row r="32" ht="15.75" customHeight="1">
      <c r="A32" s="203" t="s">
        <v>42</v>
      </c>
      <c r="B32" s="203">
        <f>COUNTIF('📋 All Notices'!B3:B1006,"*Karnataka*")</f>
        <v>1</v>
      </c>
      <c r="C32" s="204">
        <f>SUMIF('📋 All Notices'!B3:B1006,"*Karnataka*",'📋 All Notices'!I3:I1006)</f>
        <v>0</v>
      </c>
      <c r="D32" s="204">
        <f>SUMIF('📋 All Notices'!B3:B1006,"*Karnataka*",'📋 All Notices'!J3:J1006)</f>
        <v>66023</v>
      </c>
      <c r="E32" s="204">
        <f>SUMIF('📋 All Notices'!B3:B1006,"*Karnataka*",'📋 All Notices'!K3:K1006)</f>
        <v>66023</v>
      </c>
      <c r="F32" s="204">
        <f t="shared" si="4"/>
        <v>132046</v>
      </c>
      <c r="G32" s="204">
        <f>SUMIF('📋 All Notices'!B3:B1006,"*Karnataka*",'📋 All Notices'!L3:L1006)</f>
        <v>0</v>
      </c>
      <c r="H32" s="204">
        <f>SUMIF('📋 All Notices'!B3:B1006,"*Karnataka*",'📋 All Notices'!M3:M1006)</f>
        <v>132046</v>
      </c>
      <c r="I32" s="204">
        <f>SUMIF('📋 All Notices'!B3:B1006,"*Karnataka*",'📋 All Notices'!N3:N1006)</f>
        <v>0</v>
      </c>
      <c r="J32" s="204">
        <f>SUMIF('📋 All Notices'!B3:B1006,"*Karnataka*",'📋 All Notices'!O3:O1006)</f>
        <v>264092</v>
      </c>
      <c r="K32" s="204">
        <f>SUMIF('📋 All Notices'!B3:B1006,"*Karnataka*",'📋 All Notices'!P3:P1006)</f>
        <v>0</v>
      </c>
      <c r="L32" s="203">
        <f>COUNTIFS('📋 All Notices'!B3:B1006,"*Karnataka*",'📋 All Notices'!Q3:Q1006,"*Active*")</f>
        <v>1</v>
      </c>
      <c r="M32" s="203"/>
    </row>
    <row r="33" ht="15.75" customHeight="1">
      <c r="A33" s="126" t="s">
        <v>43</v>
      </c>
      <c r="B33" s="126">
        <f>COUNTIF('📋 All Notices'!B3:B1006,"*Kerala*")</f>
        <v>1</v>
      </c>
      <c r="C33" s="113">
        <f>SUMIF('📋 All Notices'!B3:B1006,"*Kerala*",'📋 All Notices'!I3:I1006)</f>
        <v>11351</v>
      </c>
      <c r="D33" s="113">
        <f>SUMIF('📋 All Notices'!B3:B1006,"*Kerala*",'📋 All Notices'!J3:J1006)</f>
        <v>0</v>
      </c>
      <c r="E33" s="113">
        <f>SUMIF('📋 All Notices'!B3:B1006,"*Kerala*",'📋 All Notices'!K3:K1006)</f>
        <v>0</v>
      </c>
      <c r="F33" s="113">
        <f t="shared" si="4"/>
        <v>11351</v>
      </c>
      <c r="G33" s="113">
        <f>SUMIF('📋 All Notices'!B3:B1006,"*Kerala*",'📋 All Notices'!L3:L1006)</f>
        <v>0</v>
      </c>
      <c r="H33" s="113">
        <f>SUMIF('📋 All Notices'!B3:B1006,"*Kerala*",'📋 All Notices'!M3:M1006)</f>
        <v>11351</v>
      </c>
      <c r="I33" s="113">
        <f>SUMIF('📋 All Notices'!B3:B1006,"*Kerala*",'📋 All Notices'!N3:N1006)</f>
        <v>0</v>
      </c>
      <c r="J33" s="113">
        <f>SUMIF('📋 All Notices'!B3:B1006,"*Kerala*",'📋 All Notices'!O3:O1006)</f>
        <v>22702</v>
      </c>
      <c r="K33" s="113">
        <f>SUMIF('📋 All Notices'!B3:B1006,"*Kerala*",'📋 All Notices'!P3:P1006)</f>
        <v>0</v>
      </c>
      <c r="L33" s="126">
        <f>COUNTIFS('📋 All Notices'!B3:B1006,"*Kerala*",'📋 All Notices'!Q3:Q1006,"*Active*")</f>
        <v>1</v>
      </c>
    </row>
    <row r="34" ht="15.75" customHeight="1">
      <c r="A34" s="203" t="s">
        <v>44</v>
      </c>
      <c r="B34" s="203">
        <f>COUNTIF('📋 All Notices'!B3:B1006,"*Maharashtra*")</f>
        <v>3</v>
      </c>
      <c r="C34" s="204">
        <f>SUMIF('📋 All Notices'!B3:B1006,"*Maharashtra*",'📋 All Notices'!I3:I1006)</f>
        <v>12421593</v>
      </c>
      <c r="D34" s="204">
        <f>SUMIF('📋 All Notices'!B3:B1006,"*Maharashtra*",'📋 All Notices'!J3:J1006)</f>
        <v>2553241</v>
      </c>
      <c r="E34" s="204">
        <f>SUMIF('📋 All Notices'!B3:B1006,"*Maharashtra*",'📋 All Notices'!K3:K1006)</f>
        <v>2553241</v>
      </c>
      <c r="F34" s="204">
        <f t="shared" si="4"/>
        <v>17528075</v>
      </c>
      <c r="G34" s="204">
        <f>SUMIF('📋 All Notices'!B3:B1006,"*Maharashtra*",'📋 All Notices'!L3:L1006)</f>
        <v>4406352</v>
      </c>
      <c r="H34" s="204">
        <f>SUMIF('📋 All Notices'!B3:B1006,"*Maharashtra*",'📋 All Notices'!M3:M1006)</f>
        <v>12692975</v>
      </c>
      <c r="I34" s="204">
        <f>SUMIF('📋 All Notices'!B3:B1006,"*Maharashtra*",'📋 All Notices'!N3:N1006)</f>
        <v>0</v>
      </c>
      <c r="J34" s="204">
        <f>SUMIF('📋 All Notices'!B3:B1006,"*Maharashtra*",'📋 All Notices'!O3:O1006)</f>
        <v>34627402</v>
      </c>
      <c r="K34" s="204">
        <f>SUMIF('📋 All Notices'!B3:B1006,"*Maharashtra*",'📋 All Notices'!P3:P1006)</f>
        <v>407998</v>
      </c>
      <c r="L34" s="203">
        <f>COUNTIFS('📋 All Notices'!B3:B1006,"*Maharashtra*",'📋 All Notices'!Q3:Q1006,"*Active*")</f>
        <v>2</v>
      </c>
      <c r="M34" s="203"/>
    </row>
    <row r="35" ht="15.75" customHeight="1">
      <c r="A35" s="126" t="s">
        <v>45</v>
      </c>
      <c r="B35" s="126">
        <f>COUNTIF('📋 All Notices'!B3:B1006,"*Odisha*")</f>
        <v>0</v>
      </c>
      <c r="C35" s="113">
        <f>SUMIF('📋 All Notices'!B3:B1006,"*Odisha*",'📋 All Notices'!I3:I1006)</f>
        <v>0</v>
      </c>
      <c r="D35" s="113">
        <f>SUMIF('📋 All Notices'!B3:B1006,"*Odisha*",'📋 All Notices'!J3:J1006)</f>
        <v>0</v>
      </c>
      <c r="E35" s="113">
        <f>SUMIF('📋 All Notices'!B3:B1006,"*Odisha*",'📋 All Notices'!K3:K1006)</f>
        <v>0</v>
      </c>
      <c r="F35" s="113">
        <f t="shared" si="4"/>
        <v>0</v>
      </c>
      <c r="G35" s="113">
        <f>SUMIF('📋 All Notices'!B3:B1006,"*Odisha*",'📋 All Notices'!L3:L1006)</f>
        <v>0</v>
      </c>
      <c r="H35" s="113">
        <f>SUMIF('📋 All Notices'!B3:B1006,"*Odisha*",'📋 All Notices'!M3:M1006)</f>
        <v>0</v>
      </c>
      <c r="I35" s="113">
        <f>SUMIF('📋 All Notices'!B3:B1006,"*Odisha*",'📋 All Notices'!N3:N1006)</f>
        <v>0</v>
      </c>
      <c r="J35" s="113">
        <f>SUMIF('📋 All Notices'!B3:B1006,"*Odisha*",'📋 All Notices'!O3:O1006)</f>
        <v>0</v>
      </c>
      <c r="K35" s="113">
        <f>SUMIF('📋 All Notices'!B3:B1006,"*Odisha*",'📋 All Notices'!P3:P1006)</f>
        <v>0</v>
      </c>
      <c r="L35" s="126">
        <f>COUNTIFS('📋 All Notices'!B3:B1006,"*Odisha*",'📋 All Notices'!Q3:Q1006,"*Active*")</f>
        <v>0</v>
      </c>
    </row>
    <row r="36" ht="15.75" customHeight="1">
      <c r="A36" s="203" t="s">
        <v>46</v>
      </c>
      <c r="B36" s="203">
        <f>COUNTIF('📋 All Notices'!B3:B1006,"*Punjab*")</f>
        <v>0</v>
      </c>
      <c r="C36" s="204">
        <f>SUMIF('📋 All Notices'!B3:B1006,"*Punjab*",'📋 All Notices'!I3:I1006)</f>
        <v>0</v>
      </c>
      <c r="D36" s="204">
        <f>SUMIF('📋 All Notices'!B3:B1006,"*Punjab*",'📋 All Notices'!J3:J1006)</f>
        <v>0</v>
      </c>
      <c r="E36" s="204">
        <f>SUMIF('📋 All Notices'!B3:B1006,"*Punjab*",'📋 All Notices'!K3:K1006)</f>
        <v>0</v>
      </c>
      <c r="F36" s="204">
        <f t="shared" si="4"/>
        <v>0</v>
      </c>
      <c r="G36" s="204">
        <f>SUMIF('📋 All Notices'!B3:B1006,"*Punjab*",'📋 All Notices'!L3:L1006)</f>
        <v>0</v>
      </c>
      <c r="H36" s="204">
        <f>SUMIF('📋 All Notices'!B3:B1006,"*Punjab*",'📋 All Notices'!M3:M1006)</f>
        <v>0</v>
      </c>
      <c r="I36" s="204">
        <f>SUMIF('📋 All Notices'!B3:B1006,"*Punjab*",'📋 All Notices'!N3:N1006)</f>
        <v>0</v>
      </c>
      <c r="J36" s="204">
        <f>SUMIF('📋 All Notices'!B3:B1006,"*Punjab*",'📋 All Notices'!O3:O1006)</f>
        <v>0</v>
      </c>
      <c r="K36" s="204">
        <f>SUMIF('📋 All Notices'!B3:B1006,"*Punjab*",'📋 All Notices'!P3:P1006)</f>
        <v>0</v>
      </c>
      <c r="L36" s="203">
        <f>COUNTIFS('📋 All Notices'!B3:B1006,"*Punjab*",'📋 All Notices'!Q3:Q1006,"*Active*")</f>
        <v>0</v>
      </c>
      <c r="M36" s="203"/>
    </row>
    <row r="37" ht="15.75" customHeight="1">
      <c r="A37" s="126" t="s">
        <v>47</v>
      </c>
      <c r="B37" s="126">
        <f>COUNTIF('📋 All Notices'!B3:B1006,"*Rajasthan*")</f>
        <v>1</v>
      </c>
      <c r="C37" s="113">
        <f>SUMIF('📋 All Notices'!B3:B1006,"*Rajasthan*",'📋 All Notices'!I3:I1006)</f>
        <v>0</v>
      </c>
      <c r="D37" s="113">
        <f>SUMIF('📋 All Notices'!B3:B1006,"*Rajasthan*",'📋 All Notices'!J3:J1006)</f>
        <v>136515</v>
      </c>
      <c r="E37" s="113">
        <f>SUMIF('📋 All Notices'!B3:B1006,"*Rajasthan*",'📋 All Notices'!K3:K1006)</f>
        <v>136515</v>
      </c>
      <c r="F37" s="113">
        <f t="shared" si="4"/>
        <v>273030</v>
      </c>
      <c r="G37" s="113">
        <f>SUMIF('📋 All Notices'!B3:B1006,"*Rajasthan*",'📋 All Notices'!L3:L1006)</f>
        <v>0</v>
      </c>
      <c r="H37" s="113">
        <f>SUMIF('📋 All Notices'!B3:B1006,"*Rajasthan*",'📋 All Notices'!M3:M1006)</f>
        <v>273030</v>
      </c>
      <c r="I37" s="113">
        <f>SUMIF('📋 All Notices'!B3:B1006,"*Rajasthan*",'📋 All Notices'!N3:N1006)</f>
        <v>0</v>
      </c>
      <c r="J37" s="113">
        <f>SUMIF('📋 All Notices'!B3:B1006,"*Rajasthan*",'📋 All Notices'!O3:O1006)</f>
        <v>546060</v>
      </c>
      <c r="K37" s="113">
        <f>SUMIF('📋 All Notices'!B3:B1006,"*Rajasthan*",'📋 All Notices'!P3:P1006)</f>
        <v>0</v>
      </c>
      <c r="L37" s="126">
        <f>COUNTIFS('📋 All Notices'!B3:B1006,"*Rajasthan*",'📋 All Notices'!Q3:Q1006,"*Active*")</f>
        <v>1</v>
      </c>
    </row>
    <row r="38" ht="15.75" customHeight="1">
      <c r="A38" s="203" t="s">
        <v>48</v>
      </c>
      <c r="B38" s="203">
        <f>COUNTIF('📋 All Notices'!B3:B1006,"*Tamil Nadu*")</f>
        <v>0</v>
      </c>
      <c r="C38" s="204">
        <f>SUMIF('📋 All Notices'!B3:B1006,"*Tamil Nadu*",'📋 All Notices'!I3:I1006)</f>
        <v>0</v>
      </c>
      <c r="D38" s="204">
        <f>SUMIF('📋 All Notices'!B3:B1006,"*Tamil Nadu*",'📋 All Notices'!J3:J1006)</f>
        <v>0</v>
      </c>
      <c r="E38" s="204">
        <f>SUMIF('📋 All Notices'!B3:B1006,"*Tamil Nadu*",'📋 All Notices'!K3:K1006)</f>
        <v>0</v>
      </c>
      <c r="F38" s="204">
        <f t="shared" si="4"/>
        <v>0</v>
      </c>
      <c r="G38" s="204">
        <f>SUMIF('📋 All Notices'!B3:B1006,"*Tamil Nadu*",'📋 All Notices'!L3:L1006)</f>
        <v>0</v>
      </c>
      <c r="H38" s="204">
        <f>SUMIF('📋 All Notices'!B3:B1006,"*Tamil Nadu*",'📋 All Notices'!M3:M1006)</f>
        <v>0</v>
      </c>
      <c r="I38" s="204">
        <f>SUMIF('📋 All Notices'!B3:B1006,"*Tamil Nadu*",'📋 All Notices'!N3:N1006)</f>
        <v>0</v>
      </c>
      <c r="J38" s="204">
        <f>SUMIF('📋 All Notices'!B3:B1006,"*Tamil Nadu*",'📋 All Notices'!O3:O1006)</f>
        <v>0</v>
      </c>
      <c r="K38" s="204">
        <f>SUMIF('📋 All Notices'!B3:B1006,"*Tamil Nadu*",'📋 All Notices'!P3:P1006)</f>
        <v>0</v>
      </c>
      <c r="L38" s="203">
        <f>COUNTIFS('📋 All Notices'!B3:B1006,"*Tamil Nadu*",'📋 All Notices'!Q3:Q1006,"*Active*")</f>
        <v>0</v>
      </c>
      <c r="M38" s="203"/>
    </row>
    <row r="39" ht="15.75" customHeight="1">
      <c r="A39" s="126" t="s">
        <v>49</v>
      </c>
      <c r="B39" s="126">
        <f>COUNTIF('📋 All Notices'!B3:B1006,"*Telangana*")</f>
        <v>2</v>
      </c>
      <c r="C39" s="113">
        <f>SUMIF('📋 All Notices'!B3:B1006,"*Telangana*",'📋 All Notices'!I3:I1006)</f>
        <v>2899606</v>
      </c>
      <c r="D39" s="113">
        <f>SUMIF('📋 All Notices'!B3:B1006,"*Telangana*",'📋 All Notices'!J3:J1006)</f>
        <v>2468045</v>
      </c>
      <c r="E39" s="113">
        <f>SUMIF('📋 All Notices'!B3:B1006,"*Telangana*",'📋 All Notices'!K3:K1006)</f>
        <v>2468045</v>
      </c>
      <c r="F39" s="113">
        <f t="shared" si="4"/>
        <v>7835696</v>
      </c>
      <c r="G39" s="113">
        <f>SUMIF('📋 All Notices'!B3:B1006,"*Telangana*",'📋 All Notices'!L3:L1006)</f>
        <v>0</v>
      </c>
      <c r="H39" s="113">
        <f>SUMIF('📋 All Notices'!B3:B1006,"*Telangana*",'📋 All Notices'!M3:M1006)</f>
        <v>699718</v>
      </c>
      <c r="I39" s="113">
        <f>SUMIF('📋 All Notices'!B3:B1006,"*Telangana*",'📋 All Notices'!N3:N1006)</f>
        <v>0</v>
      </c>
      <c r="J39" s="113">
        <f>SUMIF('📋 All Notices'!B3:B1006,"*Telangana*",'📋 All Notices'!O3:O1006)</f>
        <v>8535414</v>
      </c>
      <c r="K39" s="113">
        <f>SUMIF('📋 All Notices'!B3:B1006,"*Telangana*",'📋 All Notices'!P3:P1006)</f>
        <v>0</v>
      </c>
      <c r="L39" s="126">
        <f>COUNTIFS('📋 All Notices'!B3:B1006,"*Telangana*",'📋 All Notices'!Q3:Q1006,"*Active*")</f>
        <v>2</v>
      </c>
    </row>
    <row r="40" ht="15.75" customHeight="1">
      <c r="A40" s="203" t="s">
        <v>50</v>
      </c>
      <c r="B40" s="203">
        <f>COUNTIF('📋 All Notices'!B3:B1006,"*Uttar Pradesh*")</f>
        <v>2</v>
      </c>
      <c r="C40" s="204">
        <f>SUMIF('📋 All Notices'!B3:B1006,"*Uttar Pradesh*",'📋 All Notices'!I3:I1006)</f>
        <v>13504614</v>
      </c>
      <c r="D40" s="204">
        <f>SUMIF('📋 All Notices'!B3:B1006,"*Uttar Pradesh*",'📋 All Notices'!J3:J1006)</f>
        <v>5319352</v>
      </c>
      <c r="E40" s="204">
        <f>SUMIF('📋 All Notices'!B3:B1006,"*Uttar Pradesh*",'📋 All Notices'!K3:K1006)</f>
        <v>5319352</v>
      </c>
      <c r="F40" s="204">
        <f t="shared" si="4"/>
        <v>24143318</v>
      </c>
      <c r="G40" s="204">
        <f>SUMIF('📋 All Notices'!B3:B1006,"*Uttar Pradesh*",'📋 All Notices'!L3:L1006)</f>
        <v>0</v>
      </c>
      <c r="H40" s="204">
        <f>SUMIF('📋 All Notices'!B3:B1006,"*Uttar Pradesh*",'📋 All Notices'!M3:M1006)</f>
        <v>24143318</v>
      </c>
      <c r="I40" s="204">
        <f>SUMIF('📋 All Notices'!B3:B1006,"*Uttar Pradesh*",'📋 All Notices'!N3:N1006)</f>
        <v>0</v>
      </c>
      <c r="J40" s="204">
        <f>SUMIF('📋 All Notices'!B3:B1006,"*Uttar Pradesh*",'📋 All Notices'!O3:O1006)</f>
        <v>48286636</v>
      </c>
      <c r="K40" s="204">
        <f>SUMIF('📋 All Notices'!B3:B1006,"*Uttar Pradesh*",'📋 All Notices'!P3:P1006)</f>
        <v>0</v>
      </c>
      <c r="L40" s="203">
        <f>COUNTIFS('📋 All Notices'!B3:B1006,"*Uttar Pradesh*",'📋 All Notices'!Q3:Q1006,"*Active*")</f>
        <v>2</v>
      </c>
      <c r="M40" s="203"/>
    </row>
    <row r="41" ht="15.75" customHeight="1">
      <c r="A41" s="126" t="s">
        <v>51</v>
      </c>
      <c r="B41" s="126">
        <f>COUNTIF('📋 All Notices'!B3:B1006,"*Uttarakhand*")</f>
        <v>0</v>
      </c>
      <c r="C41" s="113">
        <f>SUMIF('📋 All Notices'!B3:B1006,"*Uttarakhand*",'📋 All Notices'!I3:I1006)</f>
        <v>0</v>
      </c>
      <c r="D41" s="113">
        <f>SUMIF('📋 All Notices'!B3:B1006,"*Uttarakhand*",'📋 All Notices'!J3:J1006)</f>
        <v>0</v>
      </c>
      <c r="E41" s="113">
        <f>SUMIF('📋 All Notices'!B3:B1006,"*Uttarakhand*",'📋 All Notices'!K3:K1006)</f>
        <v>0</v>
      </c>
      <c r="F41" s="113">
        <f t="shared" si="4"/>
        <v>0</v>
      </c>
      <c r="G41" s="113">
        <f>SUMIF('📋 All Notices'!B3:B1006,"*Uttarakhand*",'📋 All Notices'!L3:L1006)</f>
        <v>0</v>
      </c>
      <c r="H41" s="113">
        <f>SUMIF('📋 All Notices'!B3:B1006,"*Uttarakhand*",'📋 All Notices'!M3:M1006)</f>
        <v>0</v>
      </c>
      <c r="I41" s="113">
        <f>SUMIF('📋 All Notices'!B3:B1006,"*Uttarakhand*",'📋 All Notices'!N3:N1006)</f>
        <v>0</v>
      </c>
      <c r="J41" s="113">
        <f>SUMIF('📋 All Notices'!B3:B1006,"*Uttarakhand*",'📋 All Notices'!O3:O1006)</f>
        <v>0</v>
      </c>
      <c r="K41" s="113">
        <f>SUMIF('📋 All Notices'!B3:B1006,"*Uttarakhand*",'📋 All Notices'!P3:P1006)</f>
        <v>0</v>
      </c>
      <c r="L41" s="126">
        <f>COUNTIFS('📋 All Notices'!B3:B1006,"*Uttarakhand*",'📋 All Notices'!Q3:Q1006,"*Active*")</f>
        <v>0</v>
      </c>
    </row>
    <row r="42" ht="15.75" customHeight="1">
      <c r="A42" s="203" t="s">
        <v>52</v>
      </c>
      <c r="B42" s="203">
        <f>COUNTIF('📋 All Notices'!B3:B1006,"*West Bengal*")</f>
        <v>4</v>
      </c>
      <c r="C42" s="204">
        <f>SUMIF('📋 All Notices'!B3:B1006,"*West Bengal*",'📋 All Notices'!I3:I1006)</f>
        <v>6751699</v>
      </c>
      <c r="D42" s="204">
        <f>SUMIF('📋 All Notices'!B3:B1006,"*West Bengal*",'📋 All Notices'!J3:J1006)</f>
        <v>7666425</v>
      </c>
      <c r="E42" s="204">
        <f>SUMIF('📋 All Notices'!B3:B1006,"*West Bengal*",'📋 All Notices'!K3:K1006)</f>
        <v>7666425</v>
      </c>
      <c r="F42" s="204">
        <f t="shared" si="4"/>
        <v>22084549</v>
      </c>
      <c r="G42" s="204">
        <f>SUMIF('📋 All Notices'!B3:B1006,"*West Bengal*",'📋 All Notices'!L3:L1006)</f>
        <v>0</v>
      </c>
      <c r="H42" s="204">
        <f>SUMIF('📋 All Notices'!B3:B1006,"*West Bengal*",'📋 All Notices'!M3:M1006)</f>
        <v>17352027</v>
      </c>
      <c r="I42" s="204">
        <f>SUMIF('📋 All Notices'!B3:B1006,"*West Bengal*",'📋 All Notices'!N3:N1006)</f>
        <v>0</v>
      </c>
      <c r="J42" s="204">
        <f>SUMIF('📋 All Notices'!B3:B1006,"*West Bengal*",'📋 All Notices'!O3:O1006)</f>
        <v>39436576</v>
      </c>
      <c r="K42" s="204">
        <f>SUMIF('📋 All Notices'!B3:B1006,"*West Bengal*",'📋 All Notices'!P3:P1006)</f>
        <v>531616</v>
      </c>
      <c r="L42" s="203">
        <f>COUNTIFS('📋 All Notices'!B3:B1006,"*West Bengal*",'📋 All Notices'!Q3:Q1006,"*Active*")</f>
        <v>4</v>
      </c>
      <c r="M42" s="203"/>
    </row>
    <row r="43" ht="15.75" customHeight="1">
      <c r="A43" s="76" t="s">
        <v>322</v>
      </c>
      <c r="B43" s="76">
        <f t="shared" ref="B43:L43" si="5">SUM(B24:B42)</f>
        <v>33</v>
      </c>
      <c r="C43" s="205">
        <f t="shared" si="5"/>
        <v>125410855</v>
      </c>
      <c r="D43" s="205">
        <f t="shared" si="5"/>
        <v>87129425</v>
      </c>
      <c r="E43" s="205">
        <f t="shared" si="5"/>
        <v>87129304</v>
      </c>
      <c r="F43" s="205">
        <f t="shared" si="5"/>
        <v>299669584</v>
      </c>
      <c r="G43" s="205">
        <f t="shared" si="5"/>
        <v>99134245.93</v>
      </c>
      <c r="H43" s="205">
        <f t="shared" si="5"/>
        <v>223432959.6</v>
      </c>
      <c r="I43" s="205">
        <f t="shared" si="5"/>
        <v>1652240</v>
      </c>
      <c r="J43" s="205">
        <f t="shared" si="5"/>
        <v>623889029.5</v>
      </c>
      <c r="K43" s="205">
        <f t="shared" si="5"/>
        <v>6030483</v>
      </c>
      <c r="L43" s="76">
        <f t="shared" si="5"/>
        <v>30</v>
      </c>
      <c r="M43" s="206"/>
    </row>
    <row r="44" ht="15.75" customHeight="1"/>
    <row r="45" ht="15.75" customHeight="1">
      <c r="A45" s="207" t="s">
        <v>329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A80" s="208" t="s">
        <v>315</v>
      </c>
      <c r="B80" s="113">
        <f>SUM('📋 All Notices'!I3:I1006)+SUM('📋 All Notices'!J3:J1006)+SUM('📋 All Notices'!K3:K1006)</f>
        <v>301051496</v>
      </c>
    </row>
    <row r="81" ht="15.75" customHeight="1">
      <c r="A81" s="208" t="s">
        <v>325</v>
      </c>
      <c r="B81" s="113">
        <f>SUM('📋 All Notices'!L3:L1006)</f>
        <v>99631052.93</v>
      </c>
    </row>
    <row r="82" ht="15.75" customHeight="1">
      <c r="A82" s="208" t="s">
        <v>326</v>
      </c>
      <c r="B82" s="113">
        <f>SUM('📋 All Notices'!M3:M1006)</f>
        <v>223571190.6</v>
      </c>
    </row>
    <row r="83" ht="15.75" customHeight="1">
      <c r="A83" s="208" t="s">
        <v>327</v>
      </c>
      <c r="B83" s="113">
        <f>SUM('📋 All Notices'!N3:N1006)</f>
        <v>1652240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2:M22"/>
    <mergeCell ref="A45:M45"/>
    <mergeCell ref="A1:M1"/>
    <mergeCell ref="A4:M4"/>
    <mergeCell ref="C5:D5"/>
    <mergeCell ref="C6:D6"/>
    <mergeCell ref="A9:D9"/>
    <mergeCell ref="F9:H9"/>
    <mergeCell ref="J9:M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330</v>
      </c>
    </row>
    <row r="2" ht="15.75" customHeight="1">
      <c r="A2" s="3" t="s">
        <v>331</v>
      </c>
      <c r="B2" s="209" t="s">
        <v>332</v>
      </c>
      <c r="D2" s="3" t="s">
        <v>333</v>
      </c>
      <c r="E2" s="5">
        <v>37.0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0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0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'andhra pradesh' ORDER BY G DESC"", 0), ""No notices for Andhra Pradesh"")"),"No notices for Andhra Pradesh")</f>
        <v>No notices for Andhra Pradesh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342</v>
      </c>
    </row>
    <row r="2" ht="15.75" customHeight="1">
      <c r="A2" s="3" t="s">
        <v>331</v>
      </c>
      <c r="B2" s="209" t="s">
        <v>343</v>
      </c>
      <c r="D2" s="3" t="s">
        <v>333</v>
      </c>
      <c r="E2" s="5">
        <v>18.0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0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0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'assam' ORDER BY G DESC"", 0), ""No notices for Assam"")"),"No notices for Assam")</f>
        <v>No notices for Assam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344</v>
      </c>
    </row>
    <row r="2" ht="15.75" customHeight="1">
      <c r="A2" s="3" t="s">
        <v>331</v>
      </c>
      <c r="B2" s="209" t="s">
        <v>345</v>
      </c>
      <c r="D2" s="3" t="s">
        <v>333</v>
      </c>
      <c r="E2" s="5">
        <v>10.0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0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0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'bihar' ORDER BY G DESC"", 0), ""No notices for Bihar"")"),"No notices for Bihar")</f>
        <v>No notices for Bihar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346</v>
      </c>
    </row>
    <row r="2" ht="15.75" customHeight="1">
      <c r="A2" s="3" t="s">
        <v>331</v>
      </c>
      <c r="B2" s="209" t="s">
        <v>347</v>
      </c>
      <c r="D2" s="3" t="s">
        <v>333</v>
      </c>
      <c r="E2" s="5">
        <v>4.0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0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0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'chandigarh' ORDER BY G DESC"", 0), ""No notices for Chandigarh"")"),"No notices for Chandigarh")</f>
        <v>No notices for Chandigarh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0.0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7" width="31.0"/>
    <col customWidth="1" min="18" max="18" width="45.88"/>
    <col customWidth="1" min="19" max="19" width="22.63"/>
  </cols>
  <sheetData>
    <row r="1" ht="33.75" customHeight="1">
      <c r="A1" s="100" t="s">
        <v>348</v>
      </c>
    </row>
    <row r="2" ht="15.75" customHeight="1">
      <c r="A2" s="3" t="s">
        <v>331</v>
      </c>
      <c r="B2" s="209" t="s">
        <v>349</v>
      </c>
      <c r="D2" s="3" t="s">
        <v>333</v>
      </c>
      <c r="E2" s="5">
        <v>7.0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3.0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45121552</v>
      </c>
      <c r="H3" s="213" t="s">
        <v>337</v>
      </c>
      <c r="I3" s="215">
        <f>IFERROR(SUM(K6:K1000),0)</f>
        <v>26853961</v>
      </c>
      <c r="J3" s="213" t="s">
        <v>338</v>
      </c>
      <c r="K3" s="216">
        <f>IFERROR(SUM(L6:L1000),0)</f>
        <v>76618377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'delhi' ORDER BY G DESC"", 0), ""No notices for Delhi"")"),4.0)</f>
        <v>4</v>
      </c>
      <c r="B6" s="126" t="str">
        <f>IFERROR(__xludf.DUMMYFUNCTION("""COMPUTED_VALUE"""),"ZD070225002579G")</f>
        <v>ZD070225002579G</v>
      </c>
      <c r="C6" s="126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26" t="str">
        <f>IFERROR(__xludf.DUMMYFUNCTION("""COMPUTED_VALUE"""),"2017-18")</f>
        <v>2017-18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>
        <f>IFERROR(__xludf.DUMMYFUNCTION("""COMPUTED_VALUE"""),9140005.0)</f>
        <v>9140005</v>
      </c>
      <c r="I6" s="113">
        <f>IFERROR(__xludf.DUMMYFUNCTION("""COMPUTED_VALUE"""),1.8665716E7)</f>
        <v>18665716</v>
      </c>
      <c r="J6" s="113">
        <f>IFERROR(__xludf.DUMMYFUNCTION("""COMPUTED_VALUE"""),1.8665716E7)</f>
        <v>18665716</v>
      </c>
      <c r="K6" s="113"/>
      <c r="L6" s="113">
        <f>IFERROR(__xludf.DUMMYFUNCTION("""COMPUTED_VALUE"""),4.6471437E7)</f>
        <v>46471437</v>
      </c>
      <c r="M6" s="113"/>
      <c r="N6" s="113">
        <f>IFERROR(__xludf.DUMMYFUNCTION("""COMPUTED_VALUE"""),9.2942874E7)</f>
        <v>92942874</v>
      </c>
      <c r="O6" s="126"/>
      <c r="P6" s="126" t="str">
        <f>IFERROR(__xludf.DUMMYFUNCTION("""COMPUTED_VALUE"""),"Active")</f>
        <v>Active</v>
      </c>
      <c r="Q6" s="126" t="str">
        <f>IFERROR(__xludf.DUMMYFUNCTION("""COMPUTED_VALUE"""),"WRIT FILED AT HIGH CRT")</f>
        <v>WRIT FILED AT HIGH CRT</v>
      </c>
      <c r="R6" s="163"/>
      <c r="S6" s="126"/>
    </row>
    <row r="7" ht="15.75" customHeight="1">
      <c r="A7" s="126">
        <f>IFERROR(__xludf.DUMMYFUNCTION("""COMPUTED_VALUE"""),5.0)</f>
        <v>5</v>
      </c>
      <c r="B7" s="126" t="str">
        <f>IFERROR(__xludf.DUMMYFUNCTION("""COMPUTED_VALUE"""),"ZD070225002581V")</f>
        <v>ZD070225002581V</v>
      </c>
      <c r="C7" s="126" t="str">
        <f>IFERROR(__xludf.DUMMYFUNCTION("""COMPUTED_VALUE"""),"35/2024-25")</f>
        <v>35/2024-25</v>
      </c>
      <c r="D7" s="126" t="str">
        <f>IFERROR(__xludf.DUMMYFUNCTION("""COMPUTED_VALUE"""),"DRC-07 (Sec 74 - DGGI)")</f>
        <v>DRC-07 (Sec 74 - DGGI)</v>
      </c>
      <c r="E7" s="126" t="str">
        <f>IFERROR(__xludf.DUMMYFUNCTION("""COMPUTED_VALUE"""),"2019-20")</f>
        <v>2019-20</v>
      </c>
      <c r="F7" s="162">
        <f>IFERROR(__xludf.DUMMYFUNCTION("""COMPUTED_VALUE"""),45690.0)</f>
        <v>45690</v>
      </c>
      <c r="G7" s="113">
        <f>IFERROR(__xludf.DUMMYFUNCTION("""COMPUTED_VALUE"""),45718.0)</f>
        <v>45718</v>
      </c>
      <c r="H7" s="113"/>
      <c r="I7" s="113">
        <f>IFERROR(__xludf.DUMMYFUNCTION("""COMPUTED_VALUE"""),1.1259137E7)</f>
        <v>11259137</v>
      </c>
      <c r="J7" s="113">
        <f>IFERROR(__xludf.DUMMYFUNCTION("""COMPUTED_VALUE"""),1.1259137E7)</f>
        <v>11259137</v>
      </c>
      <c r="K7" s="113"/>
      <c r="L7" s="113">
        <f>IFERROR(__xludf.DUMMYFUNCTION("""COMPUTED_VALUE"""),2.2518274E7)</f>
        <v>22518274</v>
      </c>
      <c r="M7" s="113"/>
      <c r="N7" s="113">
        <f>IFERROR(__xludf.DUMMYFUNCTION("""COMPUTED_VALUE"""),4.5036548E7)</f>
        <v>45036548</v>
      </c>
      <c r="O7" s="126"/>
      <c r="P7" s="126" t="str">
        <f>IFERROR(__xludf.DUMMYFUNCTION("""COMPUTED_VALUE"""),"Active")</f>
        <v>Active</v>
      </c>
      <c r="Q7" s="126" t="str">
        <f>IFERROR(__xludf.DUMMYFUNCTION("""COMPUTED_VALUE"""),"WRIT FILED AT HIGH CRT")</f>
        <v>WRIT FILED AT HIGH CRT</v>
      </c>
      <c r="R7" s="163"/>
      <c r="S7" s="126"/>
    </row>
    <row r="8" ht="15.75" customHeight="1">
      <c r="A8" s="126">
        <f>IFERROR(__xludf.DUMMYFUNCTION("""COMPUTED_VALUE"""),1.0)</f>
        <v>1</v>
      </c>
      <c r="B8" s="126" t="str">
        <f>IFERROR(__xludf.DUMMYFUNCTION("""COMPUTED_VALUE"""),"ZD0703260518466")</f>
        <v>ZD0703260518466</v>
      </c>
      <c r="C8" s="126" t="str">
        <f>IFERROR(__xludf.DUMMYFUNCTION("""COMPUTED_VALUE"""),"AD0709250320266")</f>
        <v>AD0709250320266</v>
      </c>
      <c r="D8" s="126" t="str">
        <f>IFERROR(__xludf.DUMMYFUNCTION("""COMPUTED_VALUE"""),"APL-01 (Appeal Filed)")</f>
        <v>APL-01 (Appeal Filed)</v>
      </c>
      <c r="E8" s="126" t="str">
        <f>IFERROR(__xludf.DUMMYFUNCTION("""COMPUTED_VALUE"""),"2019-20")</f>
        <v>2019-20</v>
      </c>
      <c r="F8" s="162"/>
      <c r="G8" s="113"/>
      <c r="H8" s="113">
        <f>IFERROR(__xludf.DUMMYFUNCTION("""COMPUTED_VALUE"""),0.0)</f>
        <v>0</v>
      </c>
      <c r="I8" s="113">
        <f>IFERROR(__xludf.DUMMYFUNCTION("""COMPUTED_VALUE"""),2530889.0)</f>
        <v>2530889</v>
      </c>
      <c r="J8" s="113">
        <f>IFERROR(__xludf.DUMMYFUNCTION("""COMPUTED_VALUE"""),2530889.0)</f>
        <v>2530889</v>
      </c>
      <c r="K8" s="113">
        <f>IFERROR(__xludf.DUMMYFUNCTION("""COMPUTED_VALUE"""),5466720.0)</f>
        <v>5466720</v>
      </c>
      <c r="L8" s="113">
        <f>IFERROR(__xludf.DUMMYFUNCTION("""COMPUTED_VALUE"""),5061778.0)</f>
        <v>5061778</v>
      </c>
      <c r="M8" s="113">
        <f>IFERROR(__xludf.DUMMYFUNCTION("""COMPUTED_VALUE"""),0.0)</f>
        <v>0</v>
      </c>
      <c r="N8" s="113">
        <f>IFERROR(__xludf.DUMMYFUNCTION("""COMPUTED_VALUE"""),1.5590276E7)</f>
        <v>15590276</v>
      </c>
      <c r="O8" s="126">
        <f>IFERROR(__xludf.DUMMYFUNCTION("""COMPUTED_VALUE"""),506178.0)</f>
        <v>506178</v>
      </c>
      <c r="P8" s="126" t="str">
        <f>IFERROR(__xludf.DUMMYFUNCTION("""COMPUTED_VALUE"""),"Active")</f>
        <v>Active</v>
      </c>
      <c r="Q8" s="126" t="str">
        <f>IFERROR(__xludf.DUMMYFUNCTION("""COMPUTED_VALUE"""),"APPEAL FILED STATUS PENDING")</f>
        <v>APPEAL FILED STATUS PENDING</v>
      </c>
      <c r="R8" s="126" t="str">
        <f>IFERROR(__xludf.DUMMYFUNCTION("""COMPUTED_VALUE"""),"SCRUTINY OF RETURN FY-2019-20")</f>
        <v>SCRUTINY OF RETURN FY-2019-20</v>
      </c>
      <c r="S8" s="126" t="str">
        <f>IFERROR(__xludf.DUMMYFUNCTION("""COMPUTED_VALUE"""),"REPLY DETAILS ANNEXURE FILED ONLINE ON 22/10/2025,no DRC-07 issued till date")</f>
        <v>REPLY DETAILS ANNEXURE FILED ONLINE ON 22/10/2025,no DRC-07 issued till date</v>
      </c>
    </row>
    <row r="9" ht="15.75" customHeight="1">
      <c r="A9" s="173">
        <f>IFERROR(__xludf.DUMMYFUNCTION("""COMPUTED_VALUE"""),2.0)</f>
        <v>2</v>
      </c>
      <c r="B9" s="173" t="str">
        <f>IFERROR(__xludf.DUMMYFUNCTION("""COMPUTED_VALUE"""),"ZD070824017152N")</f>
        <v>ZD070824017152N</v>
      </c>
      <c r="C9" s="173" t="str">
        <f>IFERROR(__xludf.DUMMYFUNCTION("""COMPUTED_VALUE"""),"AD070524056836R")</f>
        <v>AD070524056836R</v>
      </c>
      <c r="D9" s="126" t="str">
        <f>IFERROR(__xludf.DUMMYFUNCTION("""COMPUTED_VALUE"""),"DRC-07 (Sec 73)")</f>
        <v>DRC-07 (Sec 73)</v>
      </c>
      <c r="E9" s="173" t="str">
        <f>IFERROR(__xludf.DUMMYFUNCTION("""COMPUTED_VALUE"""),"2019-20")</f>
        <v>2019-20</v>
      </c>
      <c r="F9" s="162"/>
      <c r="G9" s="113">
        <f>IFERROR(__xludf.DUMMYFUNCTION("""COMPUTED_VALUE"""),45487.0)</f>
        <v>45487</v>
      </c>
      <c r="H9" s="113">
        <f>IFERROR(__xludf.DUMMYFUNCTION("""COMPUTED_VALUE"""),130091.0)</f>
        <v>130091</v>
      </c>
      <c r="I9" s="113">
        <f>IFERROR(__xludf.DUMMYFUNCTION("""COMPUTED_VALUE"""),1.2634437E7)</f>
        <v>12634437</v>
      </c>
      <c r="J9" s="113">
        <f>IFERROR(__xludf.DUMMYFUNCTION("""COMPUTED_VALUE"""),1.2634437E7)</f>
        <v>12634437</v>
      </c>
      <c r="K9" s="113">
        <f>IFERROR(__xludf.DUMMYFUNCTION("""COMPUTED_VALUE"""),2.1330955E7)</f>
        <v>21330955</v>
      </c>
      <c r="L9" s="113">
        <f>IFERROR(__xludf.DUMMYFUNCTION("""COMPUTED_VALUE"""),2546888.0)</f>
        <v>2546888</v>
      </c>
      <c r="M9" s="113">
        <f>IFERROR(__xludf.DUMMYFUNCTION("""COMPUTED_VALUE"""),0.0)</f>
        <v>0</v>
      </c>
      <c r="N9" s="113">
        <f>IFERROR(__xludf.DUMMYFUNCTION("""COMPUTED_VALUE"""),4.9276808E7)</f>
        <v>49276808</v>
      </c>
      <c r="O9" s="173"/>
      <c r="P9" s="173" t="str">
        <f>IFERROR(__xludf.DUMMYFUNCTION("""COMPUTED_VALUE"""),"Active")</f>
        <v>Active</v>
      </c>
      <c r="Q9" s="173" t="str">
        <f>IFERROR(__xludf.DUMMYFUNCTION("""COMPUTED_VALUE"""),"WRIT FILED AT HIGH CRT")</f>
        <v>WRIT FILED AT HIGH CRT</v>
      </c>
      <c r="R9" s="173" t="str">
        <f>IFERROR(__xludf.DUMMYFUNCTION("""COMPUTED_VALUE"""),"AUDIT SCRUTINY FY-2019-20")</f>
        <v>AUDIT SCRUTINY FY-2019-20</v>
      </c>
      <c r="S9" s="173" t="str">
        <f>IFERROR(__xludf.DUMMYFUNCTION("""COMPUTED_VALUE"""),"WRIT FILED IN HIGH COURT BY ARCHANA MAAM")</f>
        <v>WRIT FILED IN HIGH COURT BY ARCHANA MAAM</v>
      </c>
    </row>
    <row r="10" ht="15.75" customHeight="1">
      <c r="A10" s="173">
        <f>IFERROR(__xludf.DUMMYFUNCTION("""COMPUTED_VALUE"""),3.0)</f>
        <v>3</v>
      </c>
      <c r="B10" s="173" t="str">
        <f>IFERROR(__xludf.DUMMYFUNCTION("""COMPUTED_VALUE"""),"ZD070326038075I")</f>
        <v>ZD070326038075I</v>
      </c>
      <c r="C10" s="173" t="str">
        <f>IFERROR(__xludf.DUMMYFUNCTION("""COMPUTED_VALUE"""),"AD0703260199702")</f>
        <v>AD0703260199702</v>
      </c>
      <c r="D10" s="126" t="str">
        <f>IFERROR(__xludf.DUMMYFUNCTION("""COMPUTED_VALUE"""),"DRC-01 (Sec 74)")</f>
        <v>DRC-01 (Sec 74)</v>
      </c>
      <c r="E10" s="173" t="str">
        <f>IFERROR(__xludf.DUMMYFUNCTION("""COMPUTED_VALUE"""),"2021-22")</f>
        <v>2021-22</v>
      </c>
      <c r="F10" s="162"/>
      <c r="G10" s="113"/>
      <c r="H10" s="113"/>
      <c r="I10" s="113"/>
      <c r="J10" s="113"/>
      <c r="K10" s="113">
        <f>IFERROR(__xludf.DUMMYFUNCTION("""COMPUTED_VALUE"""),13398.0)</f>
        <v>13398</v>
      </c>
      <c r="L10" s="113"/>
      <c r="M10" s="113"/>
      <c r="N10" s="113">
        <f>IFERROR(__xludf.DUMMYFUNCTION("""COMPUTED_VALUE"""),13398.0)</f>
        <v>13398</v>
      </c>
      <c r="O10" s="173"/>
      <c r="P10" s="173" t="str">
        <f>IFERROR(__xludf.DUMMYFUNCTION("""COMPUTED_VALUE"""),"Closed")</f>
        <v>Closed</v>
      </c>
      <c r="Q10" s="173" t="str">
        <f>IFERROR(__xludf.DUMMYFUNCTION("""COMPUTED_VALUE"""),"Completed")</f>
        <v>Completed</v>
      </c>
      <c r="R10" s="173" t="str">
        <f>IFERROR(__xludf.DUMMYFUNCTION("""COMPUTED_VALUE"""),"LATE FILING RETURN INTEREST-2021-22")</f>
        <v>LATE FILING RETURN INTEREST-2021-22</v>
      </c>
      <c r="S10" s="173"/>
    </row>
    <row r="11" ht="15.75" customHeight="1">
      <c r="A11" s="173">
        <f>IFERROR(__xludf.DUMMYFUNCTION("""COMPUTED_VALUE"""),6.0)</f>
        <v>6</v>
      </c>
      <c r="B11" s="173" t="str">
        <f>IFERROR(__xludf.DUMMYFUNCTION("""COMPUTED_VALUE"""),"ZD0712250834287")</f>
        <v>ZD0712250834287</v>
      </c>
      <c r="C11" s="173" t="str">
        <f>IFERROR(__xludf.DUMMYFUNCTION("""COMPUTED_VALUE"""),"AD0707250169402")</f>
        <v>AD0707250169402</v>
      </c>
      <c r="D11" s="126" t="str">
        <f>IFERROR(__xludf.DUMMYFUNCTION("""COMPUTED_VALUE"""),"APL-01 (Appeal Filed)")</f>
        <v>APL-01 (Appeal Filed)</v>
      </c>
      <c r="E11" s="173" t="str">
        <f>IFERROR(__xludf.DUMMYFUNCTION("""COMPUTED_VALUE"""),"2021-22")</f>
        <v>2021-22</v>
      </c>
      <c r="F11" s="162"/>
      <c r="G11" s="113"/>
      <c r="H11" s="113">
        <f>IFERROR(__xludf.DUMMYFUNCTION("""COMPUTED_VALUE"""),0.0)</f>
        <v>0</v>
      </c>
      <c r="I11" s="113">
        <f>IFERROR(__xludf.DUMMYFUNCTION("""COMPUTED_VALUE"""),31373.0)</f>
        <v>31373</v>
      </c>
      <c r="J11" s="113">
        <f>IFERROR(__xludf.DUMMYFUNCTION("""COMPUTED_VALUE"""),31373.0)</f>
        <v>31373</v>
      </c>
      <c r="K11" s="113">
        <f>IFERROR(__xludf.DUMMYFUNCTION("""COMPUTED_VALUE"""),42888.0)</f>
        <v>42888</v>
      </c>
      <c r="L11" s="113">
        <f>IFERROR(__xludf.DUMMYFUNCTION("""COMPUTED_VALUE"""),20000.0)</f>
        <v>20000</v>
      </c>
      <c r="M11" s="113">
        <f>IFERROR(__xludf.DUMMYFUNCTION("""COMPUTED_VALUE"""),0.0)</f>
        <v>0</v>
      </c>
      <c r="N11" s="113">
        <f>IFERROR(__xludf.DUMMYFUNCTION("""COMPUTED_VALUE"""),125634.0)</f>
        <v>125634</v>
      </c>
      <c r="O11" s="173">
        <f>IFERROR(__xludf.DUMMYFUNCTION("""COMPUTED_VALUE"""),6274.0)</f>
        <v>6274</v>
      </c>
      <c r="P11" s="173" t="str">
        <f>IFERROR(__xludf.DUMMYFUNCTION("""COMPUTED_VALUE"""),"Active")</f>
        <v>Active</v>
      </c>
      <c r="Q11" s="173" t="str">
        <f>IFERROR(__xludf.DUMMYFUNCTION("""COMPUTED_VALUE"""),"APPEAL FILED,STATUS PENDING")</f>
        <v>APPEAL FILED,STATUS PENDING</v>
      </c>
      <c r="R11" s="173" t="str">
        <f>IFERROR(__xludf.DUMMYFUNCTION("""COMPUTED_VALUE"""),"GST Scrutiny Audit-2021-22")</f>
        <v>GST Scrutiny Audit-2021-22</v>
      </c>
      <c r="S11" s="173" t="str">
        <f>IFERROR(__xludf.DUMMYFUNCTION("""COMPUTED_VALUE"""),"ONLINE REPLY DRC-06 FILED dt.29/07/2025 with details enclosed, DRC-07 issued  dt.30/12/2025")</f>
        <v>ONLINE REPLY DRC-06 FILED dt.29/07/2025 with details enclosed, DRC-07 issued  dt.30/12/2025</v>
      </c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350</v>
      </c>
    </row>
    <row r="2" ht="15.75" customHeight="1">
      <c r="A2" s="3" t="s">
        <v>331</v>
      </c>
      <c r="B2" s="209" t="s">
        <v>351</v>
      </c>
      <c r="D2" s="3" t="s">
        <v>333</v>
      </c>
      <c r="E2" s="5">
        <v>6.0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3.0</v>
      </c>
      <c r="C3" s="210" t="s">
        <v>335</v>
      </c>
      <c r="D3" s="212">
        <f>IFERROR(SUM(M6:M1000),0)</f>
        <v>1652240</v>
      </c>
      <c r="F3" s="213" t="s">
        <v>336</v>
      </c>
      <c r="G3" s="214">
        <f>IFERROR(SUM(J6:J1000),0)</f>
        <v>23745398</v>
      </c>
      <c r="H3" s="213" t="s">
        <v>337</v>
      </c>
      <c r="I3" s="215">
        <f>IFERROR(SUM(K6:K1000),0)</f>
        <v>67863370.93</v>
      </c>
      <c r="J3" s="213" t="s">
        <v>338</v>
      </c>
      <c r="K3" s="216">
        <f>IFERROR(SUM(L6:L1000),0)</f>
        <v>91495149.6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'haryana' ORDER BY G DESC"", 0), ""No notices for Haryana"")"),14.0)</f>
        <v>14</v>
      </c>
      <c r="B6" s="126" t="str">
        <f>IFERROR(__xludf.DUMMYFUNCTION("""COMPUTED_VALUE"""),"ZD060425033442Q/ ZD060526036133O")</f>
        <v>ZD060425033442Q/ ZD060526036133O</v>
      </c>
      <c r="C6" s="126" t="str">
        <f>IFERROR(__xludf.DUMMYFUNCTION("""COMPUTED_VALUE"""),"AD0604250165268")</f>
        <v>AD0604250165268</v>
      </c>
      <c r="D6" s="126" t="str">
        <f>IFERROR(__xludf.DUMMYFUNCTION("""COMPUTED_VALUE"""),"DRC-01 (Sec 73)")</f>
        <v>DRC-01 (Sec 73)</v>
      </c>
      <c r="E6" s="126" t="str">
        <f>IFERROR(__xludf.DUMMYFUNCTION("""COMPUTED_VALUE"""),"2022-23")</f>
        <v>2022-23</v>
      </c>
      <c r="F6" s="162">
        <f>IFERROR(__xludf.DUMMYFUNCTION("""COMPUTED_VALUE"""),46169.0)</f>
        <v>46169</v>
      </c>
      <c r="G6" s="113"/>
      <c r="H6" s="113"/>
      <c r="I6" s="113">
        <f>IFERROR(__xludf.DUMMYFUNCTION("""COMPUTED_VALUE"""),253585.0)</f>
        <v>253585</v>
      </c>
      <c r="J6" s="113">
        <f>IFERROR(__xludf.DUMMYFUNCTION("""COMPUTED_VALUE"""),253585.0)</f>
        <v>253585</v>
      </c>
      <c r="K6" s="113">
        <f>IFERROR(__xludf.DUMMYFUNCTION("""COMPUTED_VALUE"""),2164280.0)</f>
        <v>2164280</v>
      </c>
      <c r="L6" s="113">
        <f>IFERROR(__xludf.DUMMYFUNCTION("""COMPUTED_VALUE"""),50716.0)</f>
        <v>50716</v>
      </c>
      <c r="M6" s="113">
        <f>IFERROR(__xludf.DUMMYFUNCTION("""COMPUTED_VALUE"""),0.0)</f>
        <v>0</v>
      </c>
      <c r="N6" s="113">
        <f>IFERROR(__xludf.DUMMYFUNCTION("""COMPUTED_VALUE"""),2722166.0)</f>
        <v>2722166</v>
      </c>
      <c r="O6" s="126"/>
      <c r="P6" s="126" t="str">
        <f>IFERROR(__xludf.DUMMYFUNCTION("""COMPUTED_VALUE"""),"Active")</f>
        <v>Active</v>
      </c>
      <c r="Q6" s="126" t="str">
        <f>IFERROR(__xludf.DUMMYFUNCTION("""COMPUTED_VALUE"""),"ADT-2 REPLY FILED ON 27/06/2026 deptt response awaited")</f>
        <v>ADT-2 REPLY FILED ON 27/06/2026 deptt response awaited</v>
      </c>
      <c r="R6" s="126" t="str">
        <f>IFERROR(__xludf.DUMMYFUNCTION("""COMPUTED_VALUE"""),"SCRUTINY OF RETURN  GST AUDIT 
")</f>
        <v>SCRUTINY OF RETURN  GST AUDIT 
</v>
      </c>
      <c r="S6" s="126"/>
    </row>
    <row r="7" ht="15.75" customHeight="1">
      <c r="A7" s="126">
        <f>IFERROR(__xludf.DUMMYFUNCTION("""COMPUTED_VALUE"""),15.0)</f>
        <v>15</v>
      </c>
      <c r="B7" s="126" t="str">
        <f>IFERROR(__xludf.DUMMYFUNCTION("""COMPUTED_VALUE"""),"ZD060825031852B / ZD060526036222P")</f>
        <v>ZD060825031852B / ZD060526036222P</v>
      </c>
      <c r="C7" s="126" t="str">
        <f>IFERROR(__xludf.DUMMYFUNCTION("""COMPUTED_VALUE"""),"AD060425016524C")</f>
        <v>AD060425016524C</v>
      </c>
      <c r="D7" s="126" t="str">
        <f>IFERROR(__xludf.DUMMYFUNCTION("""COMPUTED_VALUE"""),"DRC-01 (Sec 73)")</f>
        <v>DRC-01 (Sec 73)</v>
      </c>
      <c r="E7" s="126" t="str">
        <f>IFERROR(__xludf.DUMMYFUNCTION("""COMPUTED_VALUE"""),"2023-24")</f>
        <v>2023-24</v>
      </c>
      <c r="F7" s="162">
        <f>IFERROR(__xludf.DUMMYFUNCTION("""COMPUTED_VALUE"""),46169.0)</f>
        <v>46169</v>
      </c>
      <c r="G7" s="113"/>
      <c r="H7" s="113">
        <f>IFERROR(__xludf.DUMMYFUNCTION("""COMPUTED_VALUE"""),375079.0)</f>
        <v>375079</v>
      </c>
      <c r="I7" s="113">
        <f>IFERROR(__xludf.DUMMYFUNCTION("""COMPUTED_VALUE"""),281010.0)</f>
        <v>281010</v>
      </c>
      <c r="J7" s="113">
        <f>IFERROR(__xludf.DUMMYFUNCTION("""COMPUTED_VALUE"""),281010.0)</f>
        <v>281010</v>
      </c>
      <c r="K7" s="113">
        <f>IFERROR(__xludf.DUMMYFUNCTION("""COMPUTED_VALUE"""),1632850.0)</f>
        <v>1632850</v>
      </c>
      <c r="L7" s="113">
        <f>IFERROR(__xludf.DUMMYFUNCTION("""COMPUTED_VALUE"""),93708.0)</f>
        <v>93708</v>
      </c>
      <c r="M7" s="113"/>
      <c r="N7" s="113">
        <f>IFERROR(__xludf.DUMMYFUNCTION("""COMPUTED_VALUE"""),2663657.0)</f>
        <v>2663657</v>
      </c>
      <c r="O7" s="126"/>
      <c r="P7" s="126" t="str">
        <f>IFERROR(__xludf.DUMMYFUNCTION("""COMPUTED_VALUE"""),"Active")</f>
        <v>Active</v>
      </c>
      <c r="Q7" s="126" t="str">
        <f>IFERROR(__xludf.DUMMYFUNCTION("""COMPUTED_VALUE"""),"ADT-2 REPLY FILED ON 27/06/2026 as per review  BY DISHANT JI ")</f>
        <v>ADT-2 REPLY FILED ON 27/06/2026 as per review  BY DISHANT JI </v>
      </c>
      <c r="R7" s="126" t="str">
        <f>IFERROR(__xludf.DUMMYFUNCTION("""COMPUTED_VALUE"""),"SCRUTINY OF RETURN  GST AUDIT 
")</f>
        <v>SCRUTINY OF RETURN  GST AUDIT 
</v>
      </c>
      <c r="S7" s="126"/>
    </row>
    <row r="8" ht="15.75" customHeight="1">
      <c r="A8" s="126">
        <f>IFERROR(__xludf.DUMMYFUNCTION("""COMPUTED_VALUE"""),16.0)</f>
        <v>16</v>
      </c>
      <c r="B8" s="126" t="str">
        <f>IFERROR(__xludf.DUMMYFUNCTION("""COMPUTED_VALUE"""),"ZD060225001319T")</f>
        <v>ZD060225001319T</v>
      </c>
      <c r="C8" s="126" t="str">
        <f>IFERROR(__xludf.DUMMYFUNCTION("""COMPUTED_VALUE"""),"35/2024-25")</f>
        <v>35/2024-25</v>
      </c>
      <c r="D8" s="126" t="str">
        <f>IFERROR(__xludf.DUMMYFUNCTION("""COMPUTED_VALUE"""),"DRC-07 (Sec 74 - DGGI)")</f>
        <v>DRC-07 (Sec 74 - DGGI)</v>
      </c>
      <c r="E8" s="126" t="str">
        <f>IFERROR(__xludf.DUMMYFUNCTION("""COMPUTED_VALUE"""),"2020-21")</f>
        <v>2020-21</v>
      </c>
      <c r="F8" s="162">
        <f>IFERROR(__xludf.DUMMYFUNCTION("""COMPUTED_VALUE"""),45690.0)</f>
        <v>45690</v>
      </c>
      <c r="G8" s="113">
        <f>IFERROR(__xludf.DUMMYFUNCTION("""COMPUTED_VALUE"""),45718.0)</f>
        <v>45718</v>
      </c>
      <c r="H8" s="113">
        <f>IFERROR(__xludf.DUMMYFUNCTION("""COMPUTED_VALUE"""),449696.0)</f>
        <v>449696</v>
      </c>
      <c r="I8" s="113"/>
      <c r="J8" s="113"/>
      <c r="K8" s="113"/>
      <c r="L8" s="113">
        <f>IFERROR(__xludf.DUMMYFUNCTION("""COMPUTED_VALUE"""),449696.0)</f>
        <v>449696</v>
      </c>
      <c r="M8" s="113"/>
      <c r="N8" s="113">
        <f>IFERROR(__xludf.DUMMYFUNCTION("""COMPUTED_VALUE"""),899392.0)</f>
        <v>899392</v>
      </c>
      <c r="O8" s="126"/>
      <c r="P8" s="126" t="str">
        <f>IFERROR(__xludf.DUMMYFUNCTION("""COMPUTED_VALUE"""),"Active")</f>
        <v>Active</v>
      </c>
      <c r="Q8" s="126" t="str">
        <f>IFERROR(__xludf.DUMMYFUNCTION("""COMPUTED_VALUE"""),"WRIT FILED AT HIGH CRT")</f>
        <v>WRIT FILED AT HIGH CRT</v>
      </c>
      <c r="R8" s="126"/>
      <c r="S8" s="126"/>
    </row>
    <row r="9" ht="15.75" customHeight="1">
      <c r="A9" s="173">
        <f>IFERROR(__xludf.DUMMYFUNCTION("""COMPUTED_VALUE"""),17.0)</f>
        <v>17</v>
      </c>
      <c r="B9" s="173" t="str">
        <f>IFERROR(__xludf.DUMMYFUNCTION("""COMPUTED_VALUE"""),"ZD0602250013127")</f>
        <v>ZD0602250013127</v>
      </c>
      <c r="C9" s="173" t="str">
        <f>IFERROR(__xludf.DUMMYFUNCTION("""COMPUTED_VALUE"""),"35/2024-25")</f>
        <v>35/2024-25</v>
      </c>
      <c r="D9" s="126" t="str">
        <f>IFERROR(__xludf.DUMMYFUNCTION("""COMPUTED_VALUE"""),"DRC-07 (Sec 74 - DGGI)")</f>
        <v>DRC-07 (Sec 74 - DGGI)</v>
      </c>
      <c r="E9" s="173" t="str">
        <f>IFERROR(__xludf.DUMMYFUNCTION("""COMPUTED_VALUE"""),"2017-18")</f>
        <v>2017-18</v>
      </c>
      <c r="F9" s="162">
        <f>IFERROR(__xludf.DUMMYFUNCTION("""COMPUTED_VALUE"""),45690.0)</f>
        <v>45690</v>
      </c>
      <c r="G9" s="113">
        <f>IFERROR(__xludf.DUMMYFUNCTION("""COMPUTED_VALUE"""),45718.0)</f>
        <v>45718</v>
      </c>
      <c r="H9" s="113">
        <f>IFERROR(__xludf.DUMMYFUNCTION("""COMPUTED_VALUE"""),3.3973494E7)</f>
        <v>33973494</v>
      </c>
      <c r="I9" s="113">
        <f>IFERROR(__xludf.DUMMYFUNCTION("""COMPUTED_VALUE"""),1.3805337E7)</f>
        <v>13805337</v>
      </c>
      <c r="J9" s="113">
        <f>IFERROR(__xludf.DUMMYFUNCTION("""COMPUTED_VALUE"""),1.3805216E7)</f>
        <v>13805216</v>
      </c>
      <c r="K9" s="113"/>
      <c r="L9" s="113">
        <f>IFERROR(__xludf.DUMMYFUNCTION("""COMPUTED_VALUE"""),6.1584168E7)</f>
        <v>61584168</v>
      </c>
      <c r="M9" s="113"/>
      <c r="N9" s="113">
        <f>IFERROR(__xludf.DUMMYFUNCTION("""COMPUTED_VALUE"""),1.23168215E8)</f>
        <v>123168215</v>
      </c>
      <c r="O9" s="173"/>
      <c r="P9" s="173" t="str">
        <f>IFERROR(__xludf.DUMMYFUNCTION("""COMPUTED_VALUE"""),"Active")</f>
        <v>Active</v>
      </c>
      <c r="Q9" s="173" t="str">
        <f>IFERROR(__xludf.DUMMYFUNCTION("""COMPUTED_VALUE"""),"WRIT FILED AT HIGH CRT")</f>
        <v>WRIT FILED AT HIGH CRT</v>
      </c>
      <c r="R9" s="173"/>
      <c r="S9" s="173"/>
    </row>
    <row r="10" ht="15.75" customHeight="1">
      <c r="A10" s="173">
        <f>IFERROR(__xludf.DUMMYFUNCTION("""COMPUTED_VALUE"""),7.0)</f>
        <v>7</v>
      </c>
      <c r="B10" s="173" t="str">
        <f>IFERROR(__xludf.DUMMYFUNCTION("""COMPUTED_VALUE"""),"ZD0612230350316")</f>
        <v>ZD0612230350316</v>
      </c>
      <c r="C10" s="173" t="str">
        <f>IFERROR(__xludf.DUMMYFUNCTION("""COMPUTED_VALUE"""),"AD0606230066763")</f>
        <v>AD0606230066763</v>
      </c>
      <c r="D10" s="126" t="str">
        <f>IFERROR(__xludf.DUMMYFUNCTION("""COMPUTED_VALUE"""),"APL-01 (Appeal Filed)")</f>
        <v>APL-01 (Appeal Filed)</v>
      </c>
      <c r="E10" s="173" t="str">
        <f>IFERROR(__xludf.DUMMYFUNCTION("""COMPUTED_VALUE"""),"2017-18")</f>
        <v>2017-18</v>
      </c>
      <c r="F10" s="162"/>
      <c r="G10" s="113">
        <f>IFERROR(__xludf.DUMMYFUNCTION("""COMPUTED_VALUE"""),45382.0)</f>
        <v>45382</v>
      </c>
      <c r="H10" s="113">
        <f>IFERROR(__xludf.DUMMYFUNCTION("""COMPUTED_VALUE"""),1.9833242E7)</f>
        <v>19833242</v>
      </c>
      <c r="I10" s="113">
        <f>IFERROR(__xludf.DUMMYFUNCTION("""COMPUTED_VALUE"""),9235140.0)</f>
        <v>9235140</v>
      </c>
      <c r="J10" s="113">
        <f>IFERROR(__xludf.DUMMYFUNCTION("""COMPUTED_VALUE"""),9235140.0)</f>
        <v>9235140</v>
      </c>
      <c r="K10" s="113">
        <f>IFERROR(__xludf.DUMMYFUNCTION("""COMPUTED_VALUE"""),5.5355808E7)</f>
        <v>55355808</v>
      </c>
      <c r="L10" s="113">
        <f>IFERROR(__xludf.DUMMYFUNCTION("""COMPUTED_VALUE"""),3639814.0)</f>
        <v>3639814</v>
      </c>
      <c r="M10" s="113">
        <f>IFERROR(__xludf.DUMMYFUNCTION("""COMPUTED_VALUE"""),32950.0)</f>
        <v>32950</v>
      </c>
      <c r="N10" s="113">
        <f>IFERROR(__xludf.DUMMYFUNCTION("""COMPUTED_VALUE"""),9.7332094E7)</f>
        <v>97332094</v>
      </c>
      <c r="O10" s="173">
        <f>IFERROR(__xludf.DUMMYFUNCTION("""COMPUTED_VALUE"""),3830353.0)</f>
        <v>3830353</v>
      </c>
      <c r="P10" s="173" t="str">
        <f>IFERROR(__xludf.DUMMYFUNCTION("""COMPUTED_VALUE"""),"Active")</f>
        <v>Active</v>
      </c>
      <c r="Q10" s="173" t="str">
        <f>IFERROR(__xludf.DUMMYFUNCTION("""COMPUTED_VALUE"""),"WRIT FILED AT HIGH CRT")</f>
        <v>WRIT FILED AT HIGH CRT</v>
      </c>
      <c r="R10" s="173" t="str">
        <f>IFERROR(__xludf.DUMMYFUNCTION("""COMPUTED_VALUE"""),"In response towards the reply Against DRC-01 (APL-01 REJECTED &amp; APL-04 ISSUED )")</f>
        <v>In response towards the reply Against DRC-01 (APL-01 REJECTED &amp; APL-04 ISSUED )</v>
      </c>
      <c r="S10" s="173" t="str">
        <f>IFERROR(__xludf.DUMMYFUNCTION("""COMPUTED_VALUE"""),"GRIVIANCE FILED FOR RE-CONSIDIRATION AGAINST APL-4 (APPEAL REJECTION) dt.07/01/2025")</f>
        <v>GRIVIANCE FILED FOR RE-CONSIDIRATION AGAINST APL-4 (APPEAL REJECTION) dt.07/01/2025</v>
      </c>
    </row>
    <row r="11" ht="15.75" customHeight="1">
      <c r="A11" s="173">
        <f>IFERROR(__xludf.DUMMYFUNCTION("""COMPUTED_VALUE"""),8.0)</f>
        <v>8</v>
      </c>
      <c r="B11" s="173" t="str">
        <f>IFERROR(__xludf.DUMMYFUNCTION("""COMPUTED_VALUE"""),"ZD060225011119V")</f>
        <v>ZD060225011119V</v>
      </c>
      <c r="C11" s="173" t="str">
        <f>IFERROR(__xludf.DUMMYFUNCTION("""COMPUTED_VALUE"""),"AD060824008203G")</f>
        <v>AD060824008203G</v>
      </c>
      <c r="D11" s="126" t="str">
        <f>IFERROR(__xludf.DUMMYFUNCTION("""COMPUTED_VALUE"""),"APL-01 (Appeal Filed)")</f>
        <v>APL-01 (Appeal Filed)</v>
      </c>
      <c r="E11" s="173" t="str">
        <f>IFERROR(__xludf.DUMMYFUNCTION("""COMPUTED_VALUE"""),"2017-18")</f>
        <v>2017-18</v>
      </c>
      <c r="F11" s="162"/>
      <c r="G11" s="113">
        <f>IFERROR(__xludf.DUMMYFUNCTION("""COMPUTED_VALUE"""),45541.0)</f>
        <v>45541</v>
      </c>
      <c r="H11" s="113">
        <f>IFERROR(__xludf.DUMMYFUNCTION("""COMPUTED_VALUE"""),6671519.0)</f>
        <v>6671519</v>
      </c>
      <c r="I11" s="113">
        <f>IFERROR(__xludf.DUMMYFUNCTION("""COMPUTED_VALUE"""),0.0)</f>
        <v>0</v>
      </c>
      <c r="J11" s="113">
        <f>IFERROR(__xludf.DUMMYFUNCTION("""COMPUTED_VALUE"""),0.0)</f>
        <v>0</v>
      </c>
      <c r="K11" s="113">
        <f>IFERROR(__xludf.DUMMYFUNCTION("""COMPUTED_VALUE"""),8060657.93)</f>
        <v>8060657.93</v>
      </c>
      <c r="L11" s="113">
        <f>IFERROR(__xludf.DUMMYFUNCTION("""COMPUTED_VALUE"""),6671519.6)</f>
        <v>6671519.6</v>
      </c>
      <c r="M11" s="113">
        <f>IFERROR(__xludf.DUMMYFUNCTION("""COMPUTED_VALUE"""),0.0)</f>
        <v>0</v>
      </c>
      <c r="N11" s="113">
        <f>IFERROR(__xludf.DUMMYFUNCTION("""COMPUTED_VALUE"""),2.140369653E7)</f>
        <v>21403696.53</v>
      </c>
      <c r="O11" s="173">
        <f>IFERROR(__xludf.DUMMYFUNCTION("""COMPUTED_VALUE"""),667152.0)</f>
        <v>667152</v>
      </c>
      <c r="P11" s="173" t="str">
        <f>IFERROR(__xludf.DUMMYFUNCTION("""COMPUTED_VALUE"""),"Active")</f>
        <v>Active</v>
      </c>
      <c r="Q11" s="173" t="str">
        <f>IFERROR(__xludf.DUMMYFUNCTION("""COMPUTED_VALUE"""),"Appeal Filed status pending")</f>
        <v>Appeal Filed status pending</v>
      </c>
      <c r="R11" s="173" t="str">
        <f>IFERROR(__xludf.DUMMYFUNCTION("""COMPUTED_VALUE"""),"Cancel dealer ITC Calim of rs. 6671519/- RK Traders ( APPEAL FILED)")</f>
        <v>Cancel dealer ITC Calim of rs. 6671519/- RK Traders ( APPEAL FILED)</v>
      </c>
      <c r="S11" s="173" t="str">
        <f>IFERROR(__xludf.DUMMYFUNCTION("""COMPUTED_VALUE"""),"APPEAL FILED  ON DT.08/04/2025 WITH APPEAL AMT DEPOSITED ( APL-2 ISSUED)")</f>
        <v>APPEAL FILED  ON DT.08/04/2025 WITH APPEAL AMT DEPOSITED ( APL-2 ISSUED)</v>
      </c>
    </row>
    <row r="12" ht="15.75" customHeight="1">
      <c r="A12" s="173">
        <f>IFERROR(__xludf.DUMMYFUNCTION("""COMPUTED_VALUE"""),9.0)</f>
        <v>9</v>
      </c>
      <c r="B12" s="173" t="str">
        <f>IFERROR(__xludf.DUMMYFUNCTION("""COMPUTED_VALUE"""),"ZD060824000468F/ZD060125033178N")</f>
        <v>ZD060824000468F/ZD060125033178N</v>
      </c>
      <c r="C12" s="173" t="str">
        <f>IFERROR(__xludf.DUMMYFUNCTION("""COMPUTED_VALUE"""),"AD060824000225I")</f>
        <v>AD060824000225I</v>
      </c>
      <c r="D12" s="126" t="str">
        <f>IFERROR(__xludf.DUMMYFUNCTION("""COMPUTED_VALUE"""),"Enforcement Case")</f>
        <v>Enforcement Case</v>
      </c>
      <c r="E12" s="173" t="str">
        <f>IFERROR(__xludf.DUMMYFUNCTION("""COMPUTED_VALUE"""),"2017-18")</f>
        <v>2017-18</v>
      </c>
      <c r="F12" s="162"/>
      <c r="G12" s="113"/>
      <c r="H12" s="113">
        <f>IFERROR(__xludf.DUMMYFUNCTION("""COMPUTED_VALUE"""),1.880708E7)</f>
        <v>18807080</v>
      </c>
      <c r="I12" s="113">
        <f>IFERROR(__xludf.DUMMYFUNCTION("""COMPUTED_VALUE"""),0.0)</f>
        <v>0</v>
      </c>
      <c r="J12" s="113">
        <f>IFERROR(__xludf.DUMMYFUNCTION("""COMPUTED_VALUE"""),0.0)</f>
        <v>0</v>
      </c>
      <c r="K12" s="113">
        <f>IFERROR(__xludf.DUMMYFUNCTION("""COMPUTED_VALUE"""),0.0)</f>
        <v>0</v>
      </c>
      <c r="L12" s="113">
        <f>IFERROR(__xludf.DUMMYFUNCTION("""COMPUTED_VALUE"""),1.880708E7)</f>
        <v>18807080</v>
      </c>
      <c r="M12" s="113">
        <f>IFERROR(__xludf.DUMMYFUNCTION("""COMPUTED_VALUE"""),0.0)</f>
        <v>0</v>
      </c>
      <c r="N12" s="113">
        <f>IFERROR(__xludf.DUMMYFUNCTION("""COMPUTED_VALUE"""),3.761416E7)</f>
        <v>37614160</v>
      </c>
      <c r="O12" s="173"/>
      <c r="P12" s="173" t="str">
        <f>IFERROR(__xludf.DUMMYFUNCTION("""COMPUTED_VALUE"""),"Active")</f>
        <v>Active</v>
      </c>
      <c r="Q12" s="173" t="str">
        <f>IFERROR(__xludf.DUMMYFUNCTION("""COMPUTED_VALUE"""),"Reply Filed DRC-03 payment made")</f>
        <v>Reply Filed DRC-03 payment made</v>
      </c>
      <c r="R12" s="173" t="str">
        <f>IFERROR(__xludf.DUMMYFUNCTION("""COMPUTED_VALUE"""),"Cancel dealer ITC Calim of M/S Dhanaasha Infracon_FY-2017-18")</f>
        <v>Cancel dealer ITC Calim of M/S Dhanaasha Infracon_FY-2017-18</v>
      </c>
      <c r="S12" s="173"/>
    </row>
    <row r="13" ht="15.75" customHeight="1">
      <c r="A13" s="173">
        <f>IFERROR(__xludf.DUMMYFUNCTION("""COMPUTED_VALUE"""),10.0)</f>
        <v>10</v>
      </c>
      <c r="B13" s="173" t="str">
        <f>IFERROR(__xludf.DUMMYFUNCTION("""COMPUTED_VALUE"""),"ZD0612250705787")</f>
        <v>ZD0612250705787</v>
      </c>
      <c r="C13" s="173" t="str">
        <f>IFERROR(__xludf.DUMMYFUNCTION("""COMPUTED_VALUE"""),"AD0606250204096")</f>
        <v>AD0606250204096</v>
      </c>
      <c r="D13" s="126" t="str">
        <f>IFERROR(__xludf.DUMMYFUNCTION("""COMPUTED_VALUE"""),"DRC-07 (Sec 74)")</f>
        <v>DRC-07 (Sec 74)</v>
      </c>
      <c r="E13" s="173" t="str">
        <f>IFERROR(__xludf.DUMMYFUNCTION("""COMPUTED_VALUE"""),"2018-19")</f>
        <v>2018-19</v>
      </c>
      <c r="F13" s="162"/>
      <c r="G13" s="113"/>
      <c r="H13" s="113"/>
      <c r="I13" s="113"/>
      <c r="J13" s="113"/>
      <c r="K13" s="113">
        <f>IFERROR(__xludf.DUMMYFUNCTION("""COMPUTED_VALUE"""),65130.0)</f>
        <v>65130</v>
      </c>
      <c r="L13" s="113"/>
      <c r="M13" s="113"/>
      <c r="N13" s="113">
        <f>IFERROR(__xludf.DUMMYFUNCTION("""COMPUTED_VALUE"""),65130.0)</f>
        <v>65130</v>
      </c>
      <c r="O13" s="173"/>
      <c r="P13" s="173" t="str">
        <f>IFERROR(__xludf.DUMMYFUNCTION("""COMPUTED_VALUE"""),"Active")</f>
        <v>Active</v>
      </c>
      <c r="Q13" s="173" t="str">
        <f>IFERROR(__xludf.DUMMYFUNCTION("""COMPUTED_VALUE"""),"Reply Filed tax paid interest pending")</f>
        <v>Reply Filed tax paid interest pending</v>
      </c>
      <c r="R13" s="173" t="str">
        <f>IFERROR(__xludf.DUMMYFUNCTION("""COMPUTED_VALUE"""),"Cancel dealer ITC Calim of rs. 723975/ OF HEMU OVERSEAS")</f>
        <v>Cancel dealer ITC Calim of rs. 723975/ OF HEMU OVERSEAS</v>
      </c>
      <c r="S13" s="173"/>
    </row>
    <row r="14" ht="15.75" customHeight="1">
      <c r="A14" s="173">
        <f>IFERROR(__xludf.DUMMYFUNCTION("""COMPUTED_VALUE"""),11.0)</f>
        <v>11</v>
      </c>
      <c r="B14" s="173" t="str">
        <f>IFERROR(__xludf.DUMMYFUNCTION("""COMPUTED_VALUE"""),"ZD061225065921F")</f>
        <v>ZD061225065921F</v>
      </c>
      <c r="C14" s="173" t="str">
        <f>IFERROR(__xludf.DUMMYFUNCTION("""COMPUTED_VALUE"""),"AD0606250262755")</f>
        <v>AD0606250262755</v>
      </c>
      <c r="D14" s="126" t="str">
        <f>IFERROR(__xludf.DUMMYFUNCTION("""COMPUTED_VALUE"""),"APL-01 (Appeal Filed)")</f>
        <v>APL-01 (Appeal Filed)</v>
      </c>
      <c r="E14" s="173" t="str">
        <f>IFERROR(__xludf.DUMMYFUNCTION("""COMPUTED_VALUE"""),"2018-19")</f>
        <v>2018-19</v>
      </c>
      <c r="F14" s="162"/>
      <c r="G14" s="113"/>
      <c r="H14" s="113">
        <f>IFERROR(__xludf.DUMMYFUNCTION("""COMPUTED_VALUE"""),86220.0)</f>
        <v>86220</v>
      </c>
      <c r="I14" s="113">
        <f>IFERROR(__xludf.DUMMYFUNCTION("""COMPUTED_VALUE"""),0.0)</f>
        <v>0</v>
      </c>
      <c r="J14" s="113">
        <f>IFERROR(__xludf.DUMMYFUNCTION("""COMPUTED_VALUE"""),0.0)</f>
        <v>0</v>
      </c>
      <c r="K14" s="113">
        <f>IFERROR(__xludf.DUMMYFUNCTION("""COMPUTED_VALUE"""),0.0)</f>
        <v>0</v>
      </c>
      <c r="L14" s="113">
        <f>IFERROR(__xludf.DUMMYFUNCTION("""COMPUTED_VALUE"""),86220.0)</f>
        <v>86220</v>
      </c>
      <c r="M14" s="113">
        <f>IFERROR(__xludf.DUMMYFUNCTION("""COMPUTED_VALUE"""),0.0)</f>
        <v>0</v>
      </c>
      <c r="N14" s="113">
        <f>IFERROR(__xludf.DUMMYFUNCTION("""COMPUTED_VALUE"""),172440.0)</f>
        <v>172440</v>
      </c>
      <c r="O14" s="173">
        <f>IFERROR(__xludf.DUMMYFUNCTION("""COMPUTED_VALUE"""),8622.0)</f>
        <v>8622</v>
      </c>
      <c r="P14" s="173" t="str">
        <f>IFERROR(__xludf.DUMMYFUNCTION("""COMPUTED_VALUE"""),"Active")</f>
        <v>Active</v>
      </c>
      <c r="Q14" s="173" t="str">
        <f>IFERROR(__xludf.DUMMYFUNCTION("""COMPUTED_VALUE"""),"Appeal Filed status pending")</f>
        <v>Appeal Filed status pending</v>
      </c>
      <c r="R14" s="173" t="str">
        <f>IFERROR(__xludf.DUMMYFUNCTION("""COMPUTED_VALUE"""),"Cancel dealer ITC Calim of rs. 86220/- RADHEY ENTERPRISES -2018-19")</f>
        <v>Cancel dealer ITC Calim of rs. 86220/- RADHEY ENTERPRISES -2018-19</v>
      </c>
      <c r="S14" s="173" t="str">
        <f>IFERROR(__xludf.DUMMYFUNCTION("""COMPUTED_VALUE"""),"( RECTIFICATION AGAINST ORDER  FILED) DT.08-01-2026")</f>
        <v>( RECTIFICATION AGAINST ORDER  FILED) DT.08-01-2026</v>
      </c>
    </row>
    <row r="15" ht="15.75" customHeight="1">
      <c r="A15" s="173">
        <f>IFERROR(__xludf.DUMMYFUNCTION("""COMPUTED_VALUE"""),12.0)</f>
        <v>12</v>
      </c>
      <c r="B15" s="173" t="str">
        <f>IFERROR(__xludf.DUMMYFUNCTION("""COMPUTED_VALUE"""),"ZD060225038336K")</f>
        <v>ZD060225038336K</v>
      </c>
      <c r="C15" s="173" t="str">
        <f>IFERROR(__xludf.DUMMYFUNCTION("""COMPUTED_VALUE"""),"AD061124011756D")</f>
        <v>AD061124011756D</v>
      </c>
      <c r="D15" s="126" t="str">
        <f>IFERROR(__xludf.DUMMYFUNCTION("""COMPUTED_VALUE"""),"APL-01 (Appeal Filed)")</f>
        <v>APL-01 (Appeal Filed)</v>
      </c>
      <c r="E15" s="173" t="str">
        <f>IFERROR(__xludf.DUMMYFUNCTION("""COMPUTED_VALUE"""),"2020-21")</f>
        <v>2020-21</v>
      </c>
      <c r="F15" s="162"/>
      <c r="G15" s="113">
        <f>IFERROR(__xludf.DUMMYFUNCTION("""COMPUTED_VALUE"""),45746.0)</f>
        <v>45746</v>
      </c>
      <c r="H15" s="113">
        <f>IFERROR(__xludf.DUMMYFUNCTION("""COMPUTED_VALUE"""),342579.0)</f>
        <v>342579</v>
      </c>
      <c r="I15" s="113">
        <f>IFERROR(__xludf.DUMMYFUNCTION("""COMPUTED_VALUE"""),139853.0)</f>
        <v>139853</v>
      </c>
      <c r="J15" s="113">
        <f>IFERROR(__xludf.DUMMYFUNCTION("""COMPUTED_VALUE"""),139853.0)</f>
        <v>139853</v>
      </c>
      <c r="K15" s="113">
        <f>IFERROR(__xludf.DUMMYFUNCTION("""COMPUTED_VALUE"""),486099.0)</f>
        <v>486099</v>
      </c>
      <c r="L15" s="113">
        <f>IFERROR(__xludf.DUMMYFUNCTION("""COMPUTED_VALUE"""),112228.0)</f>
        <v>112228</v>
      </c>
      <c r="M15" s="113">
        <f>IFERROR(__xludf.DUMMYFUNCTION("""COMPUTED_VALUE"""),1619290.0)</f>
        <v>1619290</v>
      </c>
      <c r="N15" s="113">
        <f>IFERROR(__xludf.DUMMYFUNCTION("""COMPUTED_VALUE"""),2839902.0)</f>
        <v>2839902</v>
      </c>
      <c r="O15" s="173">
        <f>IFERROR(__xludf.DUMMYFUNCTION("""COMPUTED_VALUE"""),62230.0)</f>
        <v>62230</v>
      </c>
      <c r="P15" s="173" t="str">
        <f>IFERROR(__xludf.DUMMYFUNCTION("""COMPUTED_VALUE"""),"Active")</f>
        <v>Active</v>
      </c>
      <c r="Q15" s="173" t="str">
        <f>IFERROR(__xludf.DUMMYFUNCTION("""COMPUTED_VALUE"""),"APPEAL-2 TO FILE ON GSTAT URGENTLY BY 31/07/2026 ")</f>
        <v>APPEAL-2 TO FILE ON GSTAT URGENTLY BY 31/07/2026 </v>
      </c>
      <c r="R15" s="173" t="str">
        <f>IFERROR(__xludf.DUMMYFUNCTION("""COMPUTED_VALUE"""),"SCRUTINY OF RETURN FY-2020-21 (APPEAL FILED)")</f>
        <v>SCRUTINY OF RETURN FY-2020-21 (APPEAL FILED)</v>
      </c>
      <c r="S15" s="173" t="str">
        <f>IFERROR(__xludf.DUMMYFUNCTION("""COMPUTED_VALUE"""),"DRC-07 ORDER ISSUED AGAINST OUR REPLY FILED .Appeal _APL-01 FILED DT.28/06/25 WITH DEPOSITED AMT.62230/- no APL-04 issued till date")</f>
        <v>DRC-07 ORDER ISSUED AGAINST OUR REPLY FILED .Appeal _APL-01 FILED DT.28/06/25 WITH DEPOSITED AMT.62230/- no APL-04 issued till date</v>
      </c>
    </row>
    <row r="16" ht="15.75" customHeight="1">
      <c r="A16" s="173">
        <f>IFERROR(__xludf.DUMMYFUNCTION("""COMPUTED_VALUE"""),13.0)</f>
        <v>13</v>
      </c>
      <c r="B16" s="173" t="str">
        <f>IFERROR(__xludf.DUMMYFUNCTION("""COMPUTED_VALUE"""),"ZD060925054064D")</f>
        <v>ZD060925054064D</v>
      </c>
      <c r="C16" s="173" t="str">
        <f>IFERROR(__xludf.DUMMYFUNCTION("""COMPUTED_VALUE"""),"AD060425016525A")</f>
        <v>AD060425016525A</v>
      </c>
      <c r="D16" s="126" t="str">
        <f>IFERROR(__xludf.DUMMYFUNCTION("""COMPUTED_VALUE"""),"GST AUDIT")</f>
        <v>GST AUDIT</v>
      </c>
      <c r="E16" s="173" t="str">
        <f>IFERROR(__xludf.DUMMYFUNCTION("""COMPUTED_VALUE"""),"2021-22")</f>
        <v>2021-22</v>
      </c>
      <c r="F16" s="162"/>
      <c r="G16" s="113"/>
      <c r="H16" s="113">
        <f>IFERROR(__xludf.DUMMYFUNCTION("""COMPUTED_VALUE"""),12987.0)</f>
        <v>12987</v>
      </c>
      <c r="I16" s="113">
        <f>IFERROR(__xludf.DUMMYFUNCTION("""COMPUTED_VALUE"""),30594.0)</f>
        <v>30594</v>
      </c>
      <c r="J16" s="113">
        <f>IFERROR(__xludf.DUMMYFUNCTION("""COMPUTED_VALUE"""),30594.0)</f>
        <v>30594</v>
      </c>
      <c r="K16" s="113">
        <f>IFERROR(__xludf.DUMMYFUNCTION("""COMPUTED_VALUE"""),98546.0)</f>
        <v>98546</v>
      </c>
      <c r="L16" s="113"/>
      <c r="M16" s="113">
        <f>IFERROR(__xludf.DUMMYFUNCTION("""COMPUTED_VALUE"""),0.0)</f>
        <v>0</v>
      </c>
      <c r="N16" s="113">
        <f>IFERROR(__xludf.DUMMYFUNCTION("""COMPUTED_VALUE"""),172721.0)</f>
        <v>172721</v>
      </c>
      <c r="O16" s="173"/>
      <c r="P16" s="173" t="str">
        <f>IFERROR(__xludf.DUMMYFUNCTION("""COMPUTED_VALUE"""),"Closed")</f>
        <v>Closed</v>
      </c>
      <c r="Q16" s="173" t="str">
        <f>IFERROR(__xludf.DUMMYFUNCTION("""COMPUTED_VALUE"""),"closed order passed")</f>
        <v>closed order passed</v>
      </c>
      <c r="R16" s="173" t="str">
        <f>IFERROR(__xludf.DUMMYFUNCTION("""COMPUTED_VALUE"""),"SCRUTINY OF RETURN  GST AUDIT FY-2021-22
")</f>
        <v>SCRUTINY OF RETURN  GST AUDIT FY-2021-22
</v>
      </c>
      <c r="S16" s="17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352</v>
      </c>
    </row>
    <row r="2" ht="15.75" customHeight="1">
      <c r="A2" s="3" t="s">
        <v>331</v>
      </c>
      <c r="B2" s="209" t="s">
        <v>353</v>
      </c>
      <c r="D2" s="3" t="s">
        <v>333</v>
      </c>
      <c r="E2" s="5">
        <v>2.0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1.0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50299</v>
      </c>
      <c r="H3" s="213" t="s">
        <v>337</v>
      </c>
      <c r="I3" s="215">
        <f>IFERROR(SUM(K6:K1000),0)</f>
        <v>10562</v>
      </c>
      <c r="J3" s="213" t="s">
        <v>338</v>
      </c>
      <c r="K3" s="216">
        <f>IFERROR(SUM(L6:L1000),0)</f>
        <v>10060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'himachal pradesh' ORDER BY G DESC"", 0), ""No notices for Himachal Pradesh"")"),18.0)</f>
        <v>18</v>
      </c>
      <c r="B6" s="126" t="str">
        <f>IFERROR(__xludf.DUMMYFUNCTION("""COMPUTED_VALUE"""),"ZD0203250056107")</f>
        <v>ZD0203250056107</v>
      </c>
      <c r="C6" s="126" t="str">
        <f>IFERROR(__xludf.DUMMYFUNCTION("""COMPUTED_VALUE"""),"AD0212240011335")</f>
        <v>AD0212240011335</v>
      </c>
      <c r="D6" s="126" t="str">
        <f>IFERROR(__xludf.DUMMYFUNCTION("""COMPUTED_VALUE"""),"APL-01 (Appeal Filed)")</f>
        <v>APL-01 (Appeal Filed)</v>
      </c>
      <c r="E6" s="126" t="str">
        <f>IFERROR(__xludf.DUMMYFUNCTION("""COMPUTED_VALUE"""),"2024-25")</f>
        <v>2024-25</v>
      </c>
      <c r="F6" s="162"/>
      <c r="G6" s="113">
        <f>IFERROR(__xludf.DUMMYFUNCTION("""COMPUTED_VALUE"""),45771.0)</f>
        <v>45771</v>
      </c>
      <c r="H6" s="113"/>
      <c r="I6" s="113">
        <f>IFERROR(__xludf.DUMMYFUNCTION("""COMPUTED_VALUE"""),50299.0)</f>
        <v>50299</v>
      </c>
      <c r="J6" s="113">
        <f>IFERROR(__xludf.DUMMYFUNCTION("""COMPUTED_VALUE"""),50299.0)</f>
        <v>50299</v>
      </c>
      <c r="K6" s="113">
        <f>IFERROR(__xludf.DUMMYFUNCTION("""COMPUTED_VALUE"""),10562.0)</f>
        <v>10562</v>
      </c>
      <c r="L6" s="113">
        <f>IFERROR(__xludf.DUMMYFUNCTION("""COMPUTED_VALUE"""),10060.0)</f>
        <v>10060</v>
      </c>
      <c r="M6" s="113">
        <f>IFERROR(__xludf.DUMMYFUNCTION("""COMPUTED_VALUE"""),0.0)</f>
        <v>0</v>
      </c>
      <c r="N6" s="113">
        <f>IFERROR(__xludf.DUMMYFUNCTION("""COMPUTED_VALUE"""),121220.0)</f>
        <v>121220</v>
      </c>
      <c r="O6" s="126">
        <f>IFERROR(__xludf.DUMMYFUNCTION("""COMPUTED_VALUE"""),10060.0)</f>
        <v>10060</v>
      </c>
      <c r="P6" s="126" t="str">
        <f>IFERROR(__xludf.DUMMYFUNCTION("""COMPUTED_VALUE"""),"Active")</f>
        <v>Active</v>
      </c>
      <c r="Q6" s="126" t="str">
        <f>IFERROR(__xludf.DUMMYFUNCTION("""COMPUTED_VALUE"""),"APPEAL  WITH CONDONATION FILED STATUS PENDING")</f>
        <v>APPEAL  WITH CONDONATION FILED STATUS PENDING</v>
      </c>
      <c r="R6" s="126" t="str">
        <f>IFERROR(__xludf.DUMMYFUNCTION("""COMPUTED_VALUE"""),"TURNOVER MISMATCH GSTR1 VS GSTR3B FY-2024-25")</f>
        <v>TURNOVER MISMATCH GSTR1 VS GSTR3B FY-2024-25</v>
      </c>
      <c r="S6" s="126" t="str">
        <f>IFERROR(__xludf.DUMMYFUNCTION("""COMPUTED_VALUE"""),"After DRC-06 REply filed on 07/02/2025 but Dept issued DRC-07 dt.25/03/25.Greiviance of Rectification Request filed dt.29/12/2025")</f>
        <v>After DRC-06 REply filed on 07/02/2025 but Dept issued DRC-07 dt.25/03/25.Greiviance of Rectification Request filed dt.29/12/2025</v>
      </c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354</v>
      </c>
    </row>
    <row r="2" ht="15.75" customHeight="1">
      <c r="A2" s="3" t="s">
        <v>331</v>
      </c>
      <c r="B2" s="209" t="s">
        <v>355</v>
      </c>
      <c r="D2" s="3" t="s">
        <v>333</v>
      </c>
      <c r="E2" s="5">
        <v>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2454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4908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'jharkhand' ORDER BY G DESC"", 0), ""No notices for Jharkhand"")"),19.0)</f>
        <v>19</v>
      </c>
      <c r="B6" s="173" t="str">
        <f>IFERROR(__xludf.DUMMYFUNCTION("""COMPUTED_VALUE"""),"ZD200225000242H")</f>
        <v>ZD200225000242H</v>
      </c>
      <c r="C6" s="173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73" t="str">
        <f>IFERROR(__xludf.DUMMYFUNCTION("""COMPUTED_VALUE"""),"2018-19")</f>
        <v>2018-19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/>
      <c r="I6" s="113">
        <f>IFERROR(__xludf.DUMMYFUNCTION("""COMPUTED_VALUE"""),2454.0)</f>
        <v>2454</v>
      </c>
      <c r="J6" s="113">
        <f>IFERROR(__xludf.DUMMYFUNCTION("""COMPUTED_VALUE"""),2454.0)</f>
        <v>2454</v>
      </c>
      <c r="K6" s="113"/>
      <c r="L6" s="113">
        <f>IFERROR(__xludf.DUMMYFUNCTION("""COMPUTED_VALUE"""),4908.0)</f>
        <v>4908</v>
      </c>
      <c r="M6" s="113"/>
      <c r="N6" s="113">
        <f>IFERROR(__xludf.DUMMYFUNCTION("""COMPUTED_VALUE"""),9816.0)</f>
        <v>9816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IFERROR(__xludf.DUMMYFUNCTION("""COMPUTED_VALUE"""),"WRIT FILED AT HIGH CRT")</f>
        <v>WRIT FILED AT HIGH CRT</v>
      </c>
      <c r="R6" s="173"/>
      <c r="S6" s="17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356</v>
      </c>
    </row>
    <row r="2" ht="15.75" customHeight="1">
      <c r="A2" s="3" t="s">
        <v>331</v>
      </c>
      <c r="B2" s="209" t="s">
        <v>357</v>
      </c>
      <c r="D2" s="3" t="s">
        <v>333</v>
      </c>
      <c r="E2" s="5">
        <v>29.0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66023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132046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'karnataka' ORDER BY G DESC"", 0), ""No notices for Karnataka"")"),20.0)</f>
        <v>20</v>
      </c>
      <c r="B6" s="173" t="str">
        <f>IFERROR(__xludf.DUMMYFUNCTION("""COMPUTED_VALUE"""),"ZD290225003751N")</f>
        <v>ZD290225003751N</v>
      </c>
      <c r="C6" s="173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73" t="str">
        <f>IFERROR(__xludf.DUMMYFUNCTION("""COMPUTED_VALUE"""),"2020-21")</f>
        <v>2020-21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/>
      <c r="I6" s="113">
        <f>IFERROR(__xludf.DUMMYFUNCTION("""COMPUTED_VALUE"""),66023.0)</f>
        <v>66023</v>
      </c>
      <c r="J6" s="113">
        <f>IFERROR(__xludf.DUMMYFUNCTION("""COMPUTED_VALUE"""),66023.0)</f>
        <v>66023</v>
      </c>
      <c r="K6" s="113"/>
      <c r="L6" s="113">
        <f>IFERROR(__xludf.DUMMYFUNCTION("""COMPUTED_VALUE"""),132046.0)</f>
        <v>132046</v>
      </c>
      <c r="M6" s="113"/>
      <c r="N6" s="113">
        <f>IFERROR(__xludf.DUMMYFUNCTION("""COMPUTED_VALUE"""),264092.0)</f>
        <v>264092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IFERROR(__xludf.DUMMYFUNCTION("""COMPUTED_VALUE"""),"WRIT FILED AT HIGH CRT")</f>
        <v>WRIT FILED AT HIGH CRT</v>
      </c>
      <c r="R6" s="173"/>
      <c r="S6" s="17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358</v>
      </c>
    </row>
    <row r="2" ht="15.75" customHeight="1">
      <c r="A2" s="3" t="s">
        <v>331</v>
      </c>
      <c r="B2" s="209" t="s">
        <v>359</v>
      </c>
      <c r="D2" s="3" t="s">
        <v>333</v>
      </c>
      <c r="E2" s="5">
        <v>32.0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0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11351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'kerala' ORDER BY G DESC"", 0), ""No notices for Kerala"")"),21.0)</f>
        <v>21</v>
      </c>
      <c r="B6" s="173" t="str">
        <f>IFERROR(__xludf.DUMMYFUNCTION("""COMPUTED_VALUE"""),"ZD3202250010459")</f>
        <v>ZD3202250010459</v>
      </c>
      <c r="C6" s="173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73" t="str">
        <f>IFERROR(__xludf.DUMMYFUNCTION("""COMPUTED_VALUE"""),"2018-19")</f>
        <v>2018-19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>
        <f>IFERROR(__xludf.DUMMYFUNCTION("""COMPUTED_VALUE"""),11351.0)</f>
        <v>11351</v>
      </c>
      <c r="I6" s="113"/>
      <c r="J6" s="113"/>
      <c r="K6" s="113"/>
      <c r="L6" s="113">
        <f>IFERROR(__xludf.DUMMYFUNCTION("""COMPUTED_VALUE"""),11351.0)</f>
        <v>11351</v>
      </c>
      <c r="M6" s="113"/>
      <c r="N6" s="113">
        <f>IFERROR(__xludf.DUMMYFUNCTION("""COMPUTED_VALUE"""),22702.0)</f>
        <v>22702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IFERROR(__xludf.DUMMYFUNCTION("""COMPUTED_VALUE"""),"WRIT FILED AT HIGH CRT")</f>
        <v>WRIT FILED AT HIGH CRT</v>
      </c>
      <c r="R6" s="173"/>
      <c r="S6" s="17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360</v>
      </c>
    </row>
    <row r="2" ht="15.75" customHeight="1">
      <c r="A2" s="3" t="s">
        <v>331</v>
      </c>
      <c r="B2" s="209" t="s">
        <v>361</v>
      </c>
      <c r="D2" s="3" t="s">
        <v>333</v>
      </c>
      <c r="E2" s="5">
        <v>27.0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2.0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2553241</v>
      </c>
      <c r="H3" s="213" t="s">
        <v>337</v>
      </c>
      <c r="I3" s="215">
        <f>IFERROR(SUM(K6:K1000),0)</f>
        <v>4406352</v>
      </c>
      <c r="J3" s="213" t="s">
        <v>338</v>
      </c>
      <c r="K3" s="216">
        <f>IFERROR(SUM(L6:L1000),0)</f>
        <v>12692975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'maharashtra' ORDER BY G DESC"", 0), ""No notices for Maharashtra"")"),24.0)</f>
        <v>24</v>
      </c>
      <c r="B6" s="126" t="str">
        <f>IFERROR(__xludf.DUMMYFUNCTION("""COMPUTED_VALUE"""),"ZD270225002570W")</f>
        <v>ZD270225002570W</v>
      </c>
      <c r="C6" s="126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26" t="str">
        <f>IFERROR(__xludf.DUMMYFUNCTION("""COMPUTED_VALUE"""),"2017-18")</f>
        <v>2017-18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>
        <f>IFERROR(__xludf.DUMMYFUNCTION("""COMPUTED_VALUE"""),1.223498E7)</f>
        <v>12234980</v>
      </c>
      <c r="I6" s="113"/>
      <c r="J6" s="113"/>
      <c r="K6" s="113"/>
      <c r="L6" s="113">
        <f>IFERROR(__xludf.DUMMYFUNCTION("""COMPUTED_VALUE"""),1.223498E7)</f>
        <v>12234980</v>
      </c>
      <c r="M6" s="113"/>
      <c r="N6" s="113">
        <f>IFERROR(__xludf.DUMMYFUNCTION("""COMPUTED_VALUE"""),2.446996E7)</f>
        <v>24469960</v>
      </c>
      <c r="O6" s="126"/>
      <c r="P6" s="126" t="str">
        <f>IFERROR(__xludf.DUMMYFUNCTION("""COMPUTED_VALUE"""),"Active")</f>
        <v>Active</v>
      </c>
      <c r="Q6" s="126" t="str">
        <f>IFERROR(__xludf.DUMMYFUNCTION("""COMPUTED_VALUE"""),"WRIT FILED AT HIGH CRT")</f>
        <v>WRIT FILED AT HIGH CRT</v>
      </c>
      <c r="R6" s="126"/>
      <c r="S6" s="126"/>
    </row>
    <row r="7" ht="15.75" customHeight="1">
      <c r="A7" s="126">
        <f>IFERROR(__xludf.DUMMYFUNCTION("""COMPUTED_VALUE"""),23.0)</f>
        <v>23</v>
      </c>
      <c r="B7" s="126" t="str">
        <f>IFERROR(__xludf.DUMMYFUNCTION("""COMPUTED_VALUE"""),"ZD271224017164R")</f>
        <v>ZD271224017164R</v>
      </c>
      <c r="C7" s="126" t="str">
        <f>IFERROR(__xludf.DUMMYFUNCTION("""COMPUTED_VALUE"""),"AD271224006823B")</f>
        <v>AD271224006823B</v>
      </c>
      <c r="D7" s="126" t="str">
        <f>IFERROR(__xludf.DUMMYFUNCTION("""COMPUTED_VALUE"""),"ASMT-10 (Scrutiny)")</f>
        <v>ASMT-10 (Scrutiny)</v>
      </c>
      <c r="E7" s="126" t="str">
        <f>IFERROR(__xludf.DUMMYFUNCTION("""COMPUTED_VALUE"""),"2022-23")</f>
        <v>2022-23</v>
      </c>
      <c r="F7" s="162">
        <f>IFERROR(__xludf.DUMMYFUNCTION("""COMPUTED_VALUE"""),45631.0)</f>
        <v>45631</v>
      </c>
      <c r="G7" s="113">
        <f>IFERROR(__xludf.DUMMYFUNCTION("""COMPUTED_VALUE"""),45661.0)</f>
        <v>45661</v>
      </c>
      <c r="H7" s="113"/>
      <c r="I7" s="113">
        <f>IFERROR(__xludf.DUMMYFUNCTION("""COMPUTED_VALUE"""),606570.0)</f>
        <v>606570</v>
      </c>
      <c r="J7" s="113">
        <f>IFERROR(__xludf.DUMMYFUNCTION("""COMPUTED_VALUE"""),606570.0)</f>
        <v>606570</v>
      </c>
      <c r="K7" s="113">
        <f>IFERROR(__xludf.DUMMYFUNCTION("""COMPUTED_VALUE"""),0.0)</f>
        <v>0</v>
      </c>
      <c r="L7" s="113">
        <f>IFERROR(__xludf.DUMMYFUNCTION("""COMPUTED_VALUE"""),0.0)</f>
        <v>0</v>
      </c>
      <c r="M7" s="113">
        <f>IFERROR(__xludf.DUMMYFUNCTION("""COMPUTED_VALUE"""),0.0)</f>
        <v>0</v>
      </c>
      <c r="N7" s="113">
        <f>IFERROR(__xludf.DUMMYFUNCTION("""COMPUTED_VALUE"""),1213140.0)</f>
        <v>1213140</v>
      </c>
      <c r="O7" s="126"/>
      <c r="P7" s="126" t="str">
        <f>IFERROR(__xludf.DUMMYFUNCTION("""COMPUTED_VALUE"""),"Completed")</f>
        <v>Completed</v>
      </c>
      <c r="Q7" s="126" t="str">
        <f>IFERROR(__xludf.DUMMYFUNCTION("""COMPUTED_VALUE"""),"Order Pending")</f>
        <v>Order Pending</v>
      </c>
      <c r="R7" s="126" t="str">
        <f>IFERROR(__xludf.DUMMYFUNCTION("""COMPUTED_VALUE"""),"Intimation of Return Scrutiny FY-2022-23")</f>
        <v>Intimation of Return Scrutiny FY-2022-23</v>
      </c>
      <c r="S7" s="126" t="str">
        <f>IFERROR(__xludf.DUMMYFUNCTION("""COMPUTED_VALUE"""),"FINAL ORDER AWAITING FROM DEPT")</f>
        <v>FINAL ORDER AWAITING FROM DEPT</v>
      </c>
    </row>
    <row r="8" ht="15.75" customHeight="1">
      <c r="A8" s="173">
        <f>IFERROR(__xludf.DUMMYFUNCTION("""COMPUTED_VALUE"""),22.0)</f>
        <v>22</v>
      </c>
      <c r="B8" s="173" t="str">
        <f>IFERROR(__xludf.DUMMYFUNCTION("""COMPUTED_VALUE"""),"ZD270324041508G")</f>
        <v>ZD270324041508G</v>
      </c>
      <c r="C8" s="173" t="str">
        <f>IFERROR(__xludf.DUMMYFUNCTION("""COMPUTED_VALUE"""),"AD2706240205068")</f>
        <v>AD2706240205068</v>
      </c>
      <c r="D8" s="126" t="str">
        <f>IFERROR(__xludf.DUMMYFUNCTION("""COMPUTED_VALUE"""),"APL-01 (Appeal Filed)")</f>
        <v>APL-01 (Appeal Filed)</v>
      </c>
      <c r="E8" s="173" t="str">
        <f>IFERROR(__xludf.DUMMYFUNCTION("""COMPUTED_VALUE"""),"2018-19")</f>
        <v>2018-19</v>
      </c>
      <c r="F8" s="162"/>
      <c r="G8" s="113"/>
      <c r="H8" s="113">
        <f>IFERROR(__xludf.DUMMYFUNCTION("""COMPUTED_VALUE"""),186613.0)</f>
        <v>186613</v>
      </c>
      <c r="I8" s="113">
        <f>IFERROR(__xludf.DUMMYFUNCTION("""COMPUTED_VALUE"""),1946671.0)</f>
        <v>1946671</v>
      </c>
      <c r="J8" s="113">
        <f>IFERROR(__xludf.DUMMYFUNCTION("""COMPUTED_VALUE"""),1946671.0)</f>
        <v>1946671</v>
      </c>
      <c r="K8" s="113">
        <f>IFERROR(__xludf.DUMMYFUNCTION("""COMPUTED_VALUE"""),4406352.0)</f>
        <v>4406352</v>
      </c>
      <c r="L8" s="113">
        <f>IFERROR(__xludf.DUMMYFUNCTION("""COMPUTED_VALUE"""),457995.0)</f>
        <v>457995</v>
      </c>
      <c r="M8" s="113">
        <f>IFERROR(__xludf.DUMMYFUNCTION("""COMPUTED_VALUE"""),0.0)</f>
        <v>0</v>
      </c>
      <c r="N8" s="113">
        <f>IFERROR(__xludf.DUMMYFUNCTION("""COMPUTED_VALUE"""),8944302.0)</f>
        <v>8944302</v>
      </c>
      <c r="O8" s="173">
        <f>IFERROR(__xludf.DUMMYFUNCTION("""COMPUTED_VALUE"""),407998.0)</f>
        <v>407998</v>
      </c>
      <c r="P8" s="173" t="str">
        <f>IFERROR(__xludf.DUMMYFUNCTION("""COMPUTED_VALUE"""),"Active")</f>
        <v>Active</v>
      </c>
      <c r="Q8" s="173" t="str">
        <f>IFERROR(__xludf.DUMMYFUNCTION("""COMPUTED_VALUE"""),"Appeal Filed underprocess")</f>
        <v>Appeal Filed underprocess</v>
      </c>
      <c r="R8" s="173" t="str">
        <f>IFERROR(__xludf.DUMMYFUNCTION("""COMPUTED_VALUE"""),"Already we have filed online &amp; ofline supported docs but GST Dept declined all these  and issued DRC-07 dt.19-03-24  against which we have filed Appeal taht has been admited by dept.")</f>
        <v>Already we have filed online &amp; ofline supported docs but GST Dept declined all these  and issued DRC-07 dt.19-03-24  against which we have filed Appeal taht has been admited by dept.</v>
      </c>
      <c r="S8" s="173" t="str">
        <f>IFERROR(__xludf.DUMMYFUNCTION("""COMPUTED_VALUE"""),"APPEAL FILED &amp; APL-2 ISSUED BY DEPT")</f>
        <v>APPEAL FILED &amp; APL-2 ISSUED BY DEPT</v>
      </c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362</v>
      </c>
    </row>
    <row r="2" ht="15.75" customHeight="1">
      <c r="A2" s="3" t="s">
        <v>331</v>
      </c>
      <c r="B2" s="209" t="s">
        <v>363</v>
      </c>
      <c r="D2" s="3" t="s">
        <v>333</v>
      </c>
      <c r="E2" s="5">
        <v>21.0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0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0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'odisha' ORDER BY G DESC"", 0), ""No notices for Odisha"")"),"No notices for Odisha")</f>
        <v>No notices for Odisha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364</v>
      </c>
    </row>
    <row r="2" ht="15.75" customHeight="1">
      <c r="A2" s="3" t="s">
        <v>331</v>
      </c>
      <c r="B2" s="209" t="s">
        <v>365</v>
      </c>
      <c r="D2" s="3" t="s">
        <v>333</v>
      </c>
      <c r="E2" s="5">
        <v>3.0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0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0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'punjab' ORDER BY G DESC"", 0), ""No notices for Punjab"")"),"No notices for Punjab")</f>
        <v>No notices for Punjab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366</v>
      </c>
    </row>
    <row r="2" ht="15.75" customHeight="1">
      <c r="A2" s="3" t="s">
        <v>331</v>
      </c>
      <c r="B2" s="209" t="s">
        <v>367</v>
      </c>
      <c r="D2" s="3" t="s">
        <v>333</v>
      </c>
      <c r="E2" s="5">
        <v>8.0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136515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273030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'rajasthan' ORDER BY G DESC"", 0), ""No notices for Rajasthan"")"),25.0)</f>
        <v>25</v>
      </c>
      <c r="B6" s="173" t="str">
        <f>IFERROR(__xludf.DUMMYFUNCTION("""COMPUTED_VALUE"""),"ZD080225000863N")</f>
        <v>ZD080225000863N</v>
      </c>
      <c r="C6" s="173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73" t="str">
        <f>IFERROR(__xludf.DUMMYFUNCTION("""COMPUTED_VALUE"""),"2017-18")</f>
        <v>2017-18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/>
      <c r="I6" s="113">
        <f>IFERROR(__xludf.DUMMYFUNCTION("""COMPUTED_VALUE"""),136515.0)</f>
        <v>136515</v>
      </c>
      <c r="J6" s="113">
        <f>IFERROR(__xludf.DUMMYFUNCTION("""COMPUTED_VALUE"""),136515.0)</f>
        <v>136515</v>
      </c>
      <c r="K6" s="113"/>
      <c r="L6" s="113">
        <f>IFERROR(__xludf.DUMMYFUNCTION("""COMPUTED_VALUE"""),273030.0)</f>
        <v>273030</v>
      </c>
      <c r="M6" s="113"/>
      <c r="N6" s="113">
        <f>IFERROR(__xludf.DUMMYFUNCTION("""COMPUTED_VALUE"""),546060.0)</f>
        <v>546060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IFERROR(__xludf.DUMMYFUNCTION("""COMPUTED_VALUE"""),"WRIT FILED AT HIGH CRT")</f>
        <v>WRIT FILED AT HIGH CRT</v>
      </c>
      <c r="R6" s="173"/>
      <c r="S6" s="17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368</v>
      </c>
    </row>
    <row r="2" ht="15.75" customHeight="1">
      <c r="A2" s="3" t="s">
        <v>331</v>
      </c>
      <c r="B2" s="209" t="s">
        <v>369</v>
      </c>
      <c r="D2" s="3" t="s">
        <v>333</v>
      </c>
      <c r="E2" s="5">
        <v>33.0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0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0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'tamil nadu' ORDER BY G DESC"", 0), ""No notices for Tamil Nadu"")"),"No notices for Tamil Nadu")</f>
        <v>No notices for Tamil Nadu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370</v>
      </c>
    </row>
    <row r="2" ht="15.75" customHeight="1">
      <c r="A2" s="3" t="s">
        <v>331</v>
      </c>
      <c r="B2" s="209" t="s">
        <v>371</v>
      </c>
      <c r="D2" s="3" t="s">
        <v>333</v>
      </c>
      <c r="E2" s="5">
        <v>36.0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1.0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2468045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699718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'telangana' ORDER BY G DESC"", 0), ""No notices for Telangana"")"),27.0)</f>
        <v>27</v>
      </c>
      <c r="B6" s="173" t="str">
        <f>IFERROR(__xludf.DUMMYFUNCTION("""COMPUTED_VALUE"""),"ZD360526020645E")</f>
        <v>ZD360526020645E</v>
      </c>
      <c r="C6" s="173"/>
      <c r="D6" s="126" t="str">
        <f>IFERROR(__xludf.DUMMYFUNCTION("""COMPUTED_VALUE"""),"ASMT-10 (Scrutiny)")</f>
        <v>ASMT-10 (Scrutiny)</v>
      </c>
      <c r="E6" s="173" t="str">
        <f>IFERROR(__xludf.DUMMYFUNCTION("""COMPUTED_VALUE"""),"2022-23")</f>
        <v>2022-23</v>
      </c>
      <c r="F6" s="162">
        <f>IFERROR(__xludf.DUMMYFUNCTION("""COMPUTED_VALUE"""),46154.0)</f>
        <v>46154</v>
      </c>
      <c r="G6" s="113">
        <f>IFERROR(__xludf.DUMMYFUNCTION("""COMPUTED_VALUE"""),46185.0)</f>
        <v>46185</v>
      </c>
      <c r="H6" s="113">
        <f>IFERROR(__xludf.DUMMYFUNCTION("""COMPUTED_VALUE"""),2739468.0)</f>
        <v>2739468</v>
      </c>
      <c r="I6" s="113">
        <f>IFERROR(__xludf.DUMMYFUNCTION("""COMPUTED_VALUE"""),2198255.0)</f>
        <v>2198255</v>
      </c>
      <c r="J6" s="113">
        <f>IFERROR(__xludf.DUMMYFUNCTION("""COMPUTED_VALUE"""),2198255.0)</f>
        <v>2198255</v>
      </c>
      <c r="K6" s="113"/>
      <c r="L6" s="113"/>
      <c r="M6" s="113"/>
      <c r="N6" s="113">
        <f>IFERROR(__xludf.DUMMYFUNCTION("""COMPUTED_VALUE"""),7135978.0)</f>
        <v>7135978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IFERROR(__xludf.DUMMYFUNCTION("""COMPUTED_VALUE"""),"Reply Filed")</f>
        <v>Reply Filed</v>
      </c>
      <c r="R6" s="173"/>
      <c r="S6" s="173"/>
    </row>
    <row r="7" ht="15.75" customHeight="1">
      <c r="A7" s="173">
        <f>IFERROR(__xludf.DUMMYFUNCTION("""COMPUTED_VALUE"""),28.0)</f>
        <v>28</v>
      </c>
      <c r="B7" s="173" t="str">
        <f>IFERROR(__xludf.DUMMYFUNCTION("""COMPUTED_VALUE"""),"ZD360225002383U")</f>
        <v>ZD360225002383U</v>
      </c>
      <c r="C7" s="173" t="str">
        <f>IFERROR(__xludf.DUMMYFUNCTION("""COMPUTED_VALUE"""),"35/2024-25")</f>
        <v>35/2024-25</v>
      </c>
      <c r="D7" s="126" t="str">
        <f>IFERROR(__xludf.DUMMYFUNCTION("""COMPUTED_VALUE"""),"DRC-07 (Sec 74 - DGGI)")</f>
        <v>DRC-07 (Sec 74 - DGGI)</v>
      </c>
      <c r="E7" s="173" t="str">
        <f>IFERROR(__xludf.DUMMYFUNCTION("""COMPUTED_VALUE"""),"2018-19")</f>
        <v>2018-19</v>
      </c>
      <c r="F7" s="162">
        <f>IFERROR(__xludf.DUMMYFUNCTION("""COMPUTED_VALUE"""),45690.0)</f>
        <v>45690</v>
      </c>
      <c r="G7" s="113">
        <f>IFERROR(__xludf.DUMMYFUNCTION("""COMPUTED_VALUE"""),45718.0)</f>
        <v>45718</v>
      </c>
      <c r="H7" s="113">
        <f>IFERROR(__xludf.DUMMYFUNCTION("""COMPUTED_VALUE"""),160138.0)</f>
        <v>160138</v>
      </c>
      <c r="I7" s="113">
        <f>IFERROR(__xludf.DUMMYFUNCTION("""COMPUTED_VALUE"""),269790.0)</f>
        <v>269790</v>
      </c>
      <c r="J7" s="113">
        <f>IFERROR(__xludf.DUMMYFUNCTION("""COMPUTED_VALUE"""),269790.0)</f>
        <v>269790</v>
      </c>
      <c r="K7" s="113"/>
      <c r="L7" s="113">
        <f>IFERROR(__xludf.DUMMYFUNCTION("""COMPUTED_VALUE"""),699718.0)</f>
        <v>699718</v>
      </c>
      <c r="M7" s="113"/>
      <c r="N7" s="113">
        <f>IFERROR(__xludf.DUMMYFUNCTION("""COMPUTED_VALUE"""),1399436.0)</f>
        <v>1399436</v>
      </c>
      <c r="O7" s="173"/>
      <c r="P7" s="173" t="str">
        <f>IFERROR(__xludf.DUMMYFUNCTION("""COMPUTED_VALUE"""),"Active")</f>
        <v>Active</v>
      </c>
      <c r="Q7" s="173" t="str">
        <f>IFERROR(__xludf.DUMMYFUNCTION("""COMPUTED_VALUE"""),"WRIT FILED AT HIGH CRT")</f>
        <v>WRIT FILED AT HIGH CRT</v>
      </c>
      <c r="R7" s="173"/>
      <c r="S7" s="17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372</v>
      </c>
    </row>
    <row r="2" ht="15.75" customHeight="1">
      <c r="A2" s="3" t="s">
        <v>331</v>
      </c>
      <c r="B2" s="209" t="s">
        <v>373</v>
      </c>
      <c r="D2" s="3" t="s">
        <v>333</v>
      </c>
      <c r="E2" s="5">
        <v>9.0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5319352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24143318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'uttar pradesh' ORDER BY G DESC"", 0), ""No notices for Uttar Pradesh"")"),29.0)</f>
        <v>29</v>
      </c>
      <c r="B6" s="173" t="str">
        <f>IFERROR(__xludf.DUMMYFUNCTION("""COMPUTED_VALUE"""),"ZD090225012652O")</f>
        <v>ZD090225012652O</v>
      </c>
      <c r="C6" s="173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73" t="str">
        <f>IFERROR(__xludf.DUMMYFUNCTION("""COMPUTED_VALUE"""),"2017-18")</f>
        <v>2017-18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>
        <f>IFERROR(__xludf.DUMMYFUNCTION("""COMPUTED_VALUE"""),1.262036E7)</f>
        <v>12620360</v>
      </c>
      <c r="I6" s="113">
        <f>IFERROR(__xludf.DUMMYFUNCTION("""COMPUTED_VALUE"""),5319352.0)</f>
        <v>5319352</v>
      </c>
      <c r="J6" s="113">
        <f>IFERROR(__xludf.DUMMYFUNCTION("""COMPUTED_VALUE"""),5319352.0)</f>
        <v>5319352</v>
      </c>
      <c r="K6" s="113"/>
      <c r="L6" s="113">
        <f>IFERROR(__xludf.DUMMYFUNCTION("""COMPUTED_VALUE"""),2.3259064E7)</f>
        <v>23259064</v>
      </c>
      <c r="M6" s="113"/>
      <c r="N6" s="113">
        <f>IFERROR(__xludf.DUMMYFUNCTION("""COMPUTED_VALUE"""),4.6518128E7)</f>
        <v>46518128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IFERROR(__xludf.DUMMYFUNCTION("""COMPUTED_VALUE"""),"WRIT FILED AT HIGH CRT")</f>
        <v>WRIT FILED AT HIGH CRT</v>
      </c>
      <c r="R6" s="173"/>
      <c r="S6" s="173"/>
    </row>
    <row r="7" ht="15.75" customHeight="1">
      <c r="A7" s="173">
        <f>IFERROR(__xludf.DUMMYFUNCTION("""COMPUTED_VALUE"""),30.0)</f>
        <v>30</v>
      </c>
      <c r="B7" s="173" t="str">
        <f>IFERROR(__xludf.DUMMYFUNCTION("""COMPUTED_VALUE"""),"ZD090225012656G")</f>
        <v>ZD090225012656G</v>
      </c>
      <c r="C7" s="173" t="str">
        <f>IFERROR(__xludf.DUMMYFUNCTION("""COMPUTED_VALUE"""),"35/2024-25")</f>
        <v>35/2024-25</v>
      </c>
      <c r="D7" s="126" t="str">
        <f>IFERROR(__xludf.DUMMYFUNCTION("""COMPUTED_VALUE"""),"DRC-07 (Sec 74 - DGGI)")</f>
        <v>DRC-07 (Sec 74 - DGGI)</v>
      </c>
      <c r="E7" s="173" t="str">
        <f>IFERROR(__xludf.DUMMYFUNCTION("""COMPUTED_VALUE"""),"2018-19")</f>
        <v>2018-19</v>
      </c>
      <c r="F7" s="162">
        <f>IFERROR(__xludf.DUMMYFUNCTION("""COMPUTED_VALUE"""),45690.0)</f>
        <v>45690</v>
      </c>
      <c r="G7" s="113">
        <f>IFERROR(__xludf.DUMMYFUNCTION("""COMPUTED_VALUE"""),45718.0)</f>
        <v>45718</v>
      </c>
      <c r="H7" s="113">
        <f>IFERROR(__xludf.DUMMYFUNCTION("""COMPUTED_VALUE"""),884254.0)</f>
        <v>884254</v>
      </c>
      <c r="I7" s="113"/>
      <c r="J7" s="113"/>
      <c r="K7" s="113"/>
      <c r="L7" s="113">
        <f>IFERROR(__xludf.DUMMYFUNCTION("""COMPUTED_VALUE"""),884254.0)</f>
        <v>884254</v>
      </c>
      <c r="M7" s="113"/>
      <c r="N7" s="113">
        <f>IFERROR(__xludf.DUMMYFUNCTION("""COMPUTED_VALUE"""),1768508.0)</f>
        <v>1768508</v>
      </c>
      <c r="O7" s="173"/>
      <c r="P7" s="173" t="str">
        <f>IFERROR(__xludf.DUMMYFUNCTION("""COMPUTED_VALUE"""),"Active")</f>
        <v>Active</v>
      </c>
      <c r="Q7" s="173" t="str">
        <f>IFERROR(__xludf.DUMMYFUNCTION("""COMPUTED_VALUE"""),"Reply Filed status pending")</f>
        <v>Reply Filed status pending</v>
      </c>
      <c r="R7" s="173"/>
      <c r="S7" s="17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374</v>
      </c>
    </row>
    <row r="2" ht="15.75" customHeight="1">
      <c r="A2" s="3" t="s">
        <v>331</v>
      </c>
      <c r="B2" s="209" t="s">
        <v>375</v>
      </c>
      <c r="D2" s="3" t="s">
        <v>333</v>
      </c>
      <c r="E2" s="5">
        <v>5.0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0.0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0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0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'uttarakhand' ORDER BY G DESC"", 0), ""No notices for Uttarakhand"")"),"No notices for Uttarakhand")</f>
        <v>No notices for Uttarakhand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1.13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376</v>
      </c>
    </row>
    <row r="2" ht="15.75" customHeight="1">
      <c r="A2" s="3" t="s">
        <v>331</v>
      </c>
      <c r="B2" s="209" t="s">
        <v>377</v>
      </c>
      <c r="D2" s="3" t="s">
        <v>333</v>
      </c>
      <c r="E2" s="5">
        <v>19.0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334</v>
      </c>
      <c r="B3" s="211">
        <v>2.0</v>
      </c>
      <c r="C3" s="210" t="s">
        <v>335</v>
      </c>
      <c r="D3" s="212">
        <f>IFERROR(SUM(M6:M1000),0)</f>
        <v>0</v>
      </c>
      <c r="F3" s="213" t="s">
        <v>336</v>
      </c>
      <c r="G3" s="214">
        <f>IFERROR(SUM(J6:J1000),0)</f>
        <v>7666425</v>
      </c>
      <c r="H3" s="213" t="s">
        <v>337</v>
      </c>
      <c r="I3" s="215">
        <f>IFERROR(SUM(K6:K1000),0)</f>
        <v>0</v>
      </c>
      <c r="J3" s="213" t="s">
        <v>338</v>
      </c>
      <c r="K3" s="216">
        <f>IFERROR(SUM(L6:L1000),0)</f>
        <v>17352027</v>
      </c>
      <c r="L3" s="210" t="s">
        <v>339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340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341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'west bengal' ORDER BY G DESC"", 0), ""No notices for West Bengal"")"),33.0)</f>
        <v>33</v>
      </c>
      <c r="B6" s="126" t="str">
        <f>IFERROR(__xludf.DUMMYFUNCTION("""COMPUTED_VALUE"""),"ZD190225002834J/ ZD190625056607Y")</f>
        <v>ZD190225002834J/ ZD190625056607Y</v>
      </c>
      <c r="C6" s="126" t="str">
        <f>IFERROR(__xludf.DUMMYFUNCTION("""COMPUTED_VALUE"""),"AD190824004645X")</f>
        <v>AD190824004645X</v>
      </c>
      <c r="D6" s="126" t="str">
        <f>IFERROR(__xludf.DUMMYFUNCTION("""COMPUTED_VALUE"""),"DRC-07 (Sec 74)")</f>
        <v>DRC-07 (Sec 74)</v>
      </c>
      <c r="E6" s="126" t="str">
        <f>IFERROR(__xludf.DUMMYFUNCTION("""COMPUTED_VALUE"""),"2017-18")</f>
        <v>2017-18</v>
      </c>
      <c r="F6" s="162">
        <f>IFERROR(__xludf.DUMMYFUNCTION("""COMPUTED_VALUE"""),45692.0)</f>
        <v>45692</v>
      </c>
      <c r="G6" s="113">
        <f>IFERROR(__xludf.DUMMYFUNCTION("""COMPUTED_VALUE"""),45718.0)</f>
        <v>45718</v>
      </c>
      <c r="H6" s="113"/>
      <c r="I6" s="113">
        <f>IFERROR(__xludf.DUMMYFUNCTION("""COMPUTED_VALUE"""),927509.0)</f>
        <v>927509</v>
      </c>
      <c r="J6" s="113">
        <f>IFERROR(__xludf.DUMMYFUNCTION("""COMPUTED_VALUE"""),927509.0)</f>
        <v>927509</v>
      </c>
      <c r="K6" s="113"/>
      <c r="L6" s="113">
        <f>IFERROR(__xludf.DUMMYFUNCTION("""COMPUTED_VALUE"""),1855018.0)</f>
        <v>1855018</v>
      </c>
      <c r="M6" s="113"/>
      <c r="N6" s="113">
        <f>IFERROR(__xludf.DUMMYFUNCTION("""COMPUTED_VALUE"""),3710036.0)</f>
        <v>3710036</v>
      </c>
      <c r="O6" s="126"/>
      <c r="P6" s="126" t="str">
        <f>IFERROR(__xludf.DUMMYFUNCTION("""COMPUTED_VALUE"""),"Active")</f>
        <v>Active</v>
      </c>
      <c r="Q6" s="126" t="str">
        <f>IFERROR(__xludf.DUMMYFUNCTION("""COMPUTED_VALUE"""),"RECTIFICATION REJECTED to take action")</f>
        <v>RECTIFICATION REJECTED to take action</v>
      </c>
      <c r="R6" s="126"/>
      <c r="S6" s="126"/>
    </row>
    <row r="7" ht="15.75" customHeight="1">
      <c r="A7" s="126">
        <f>IFERROR(__xludf.DUMMYFUNCTION("""COMPUTED_VALUE"""),34.0)</f>
        <v>34</v>
      </c>
      <c r="B7" s="126" t="str">
        <f>IFERROR(__xludf.DUMMYFUNCTION("""COMPUTED_VALUE"""),"ZD190225000734N")</f>
        <v>ZD190225000734N</v>
      </c>
      <c r="C7" s="126" t="str">
        <f>IFERROR(__xludf.DUMMYFUNCTION("""COMPUTED_VALUE"""),"35/2024-25")</f>
        <v>35/2024-25</v>
      </c>
      <c r="D7" s="126" t="str">
        <f>IFERROR(__xludf.DUMMYFUNCTION("""COMPUTED_VALUE"""),"DRC-07 (Sec 74 - DGGI)")</f>
        <v>DRC-07 (Sec 74 - DGGI)</v>
      </c>
      <c r="E7" s="126" t="str">
        <f>IFERROR(__xludf.DUMMYFUNCTION("""COMPUTED_VALUE"""),"2017-18")</f>
        <v>2017-18</v>
      </c>
      <c r="F7" s="162">
        <f>IFERROR(__xludf.DUMMYFUNCTION("""COMPUTED_VALUE"""),45690.0)</f>
        <v>45690</v>
      </c>
      <c r="G7" s="113">
        <f>IFERROR(__xludf.DUMMYFUNCTION("""COMPUTED_VALUE"""),45718.0)</f>
        <v>45718</v>
      </c>
      <c r="H7" s="113">
        <f>IFERROR(__xludf.DUMMYFUNCTION("""COMPUTED_VALUE"""),6751699.0)</f>
        <v>6751699</v>
      </c>
      <c r="I7" s="113">
        <f>IFERROR(__xludf.DUMMYFUNCTION("""COMPUTED_VALUE"""),4080848.0)</f>
        <v>4080848</v>
      </c>
      <c r="J7" s="113">
        <f>IFERROR(__xludf.DUMMYFUNCTION("""COMPUTED_VALUE"""),4080848.0)</f>
        <v>4080848</v>
      </c>
      <c r="K7" s="113"/>
      <c r="L7" s="113">
        <f>IFERROR(__xludf.DUMMYFUNCTION("""COMPUTED_VALUE"""),1.4913395E7)</f>
        <v>14913395</v>
      </c>
      <c r="M7" s="113"/>
      <c r="N7" s="113">
        <f>IFERROR(__xludf.DUMMYFUNCTION("""COMPUTED_VALUE"""),2.982679E7)</f>
        <v>29826790</v>
      </c>
      <c r="O7" s="126"/>
      <c r="P7" s="126" t="str">
        <f>IFERROR(__xludf.DUMMYFUNCTION("""COMPUTED_VALUE"""),"Active")</f>
        <v>Active</v>
      </c>
      <c r="Q7" s="126" t="str">
        <f>IFERROR(__xludf.DUMMYFUNCTION("""COMPUTED_VALUE"""),"DELHI HIGH COURT DIARY No 4003818/2025 _WP© DT.02-06-2026")</f>
        <v>DELHI HIGH COURT DIARY No 4003818/2025 _WP© DT.02-06-2026</v>
      </c>
      <c r="R7" s="126"/>
      <c r="S7" s="126"/>
    </row>
    <row r="8" ht="15.75" customHeight="1">
      <c r="A8" s="173">
        <f>IFERROR(__xludf.DUMMYFUNCTION("""COMPUTED_VALUE"""),31.0)</f>
        <v>31</v>
      </c>
      <c r="B8" s="173" t="str">
        <f>IFERROR(__xludf.DUMMYFUNCTION("""COMPUTED_VALUE"""),"ZD191223069956V")</f>
        <v>ZD191223069956V</v>
      </c>
      <c r="C8" s="173"/>
      <c r="D8" s="126" t="str">
        <f>IFERROR(__xludf.DUMMYFUNCTION("""COMPUTED_VALUE"""),"APL-01 (Appeal Filed)")</f>
        <v>APL-01 (Appeal Filed)</v>
      </c>
      <c r="E8" s="173" t="str">
        <f>IFERROR(__xludf.DUMMYFUNCTION("""COMPUTED_VALUE"""),"2017-18")</f>
        <v>2017-18</v>
      </c>
      <c r="F8" s="162"/>
      <c r="G8" s="113">
        <f>IFERROR(__xludf.DUMMYFUNCTION("""COMPUTED_VALUE"""),45380.0)</f>
        <v>45380</v>
      </c>
      <c r="H8" s="113"/>
      <c r="I8" s="113">
        <f>IFERROR(__xludf.DUMMYFUNCTION("""COMPUTED_VALUE"""),2227492.0)</f>
        <v>2227492</v>
      </c>
      <c r="J8" s="113">
        <f>IFERROR(__xludf.DUMMYFUNCTION("""COMPUTED_VALUE"""),2227492.0)</f>
        <v>2227492</v>
      </c>
      <c r="K8" s="113">
        <f>IFERROR(__xludf.DUMMYFUNCTION("""COMPUTED_VALUE"""),0.0)</f>
        <v>0</v>
      </c>
      <c r="L8" s="113">
        <f>IFERROR(__xludf.DUMMYFUNCTION("""COMPUTED_VALUE"""),497498.0)</f>
        <v>497498</v>
      </c>
      <c r="M8" s="113">
        <f>IFERROR(__xludf.DUMMYFUNCTION("""COMPUTED_VALUE"""),0.0)</f>
        <v>0</v>
      </c>
      <c r="N8" s="113">
        <f>IFERROR(__xludf.DUMMYFUNCTION("""COMPUTED_VALUE"""),4952482.0)</f>
        <v>4952482</v>
      </c>
      <c r="O8" s="173">
        <f>IFERROR(__xludf.DUMMYFUNCTION("""COMPUTED_VALUE"""),445500.0)</f>
        <v>445500</v>
      </c>
      <c r="P8" s="173" t="str">
        <f>IFERROR(__xludf.DUMMYFUNCTION("""COMPUTED_VALUE"""),"Active")</f>
        <v>Active</v>
      </c>
      <c r="Q8" s="173" t="str">
        <f>IFERROR(__xludf.DUMMYFUNCTION("""COMPUTED_VALUE"""),"HEARING ATTENDED NOW CASE UNDER Appellate Tribunal")</f>
        <v>HEARING ATTENDED NOW CASE UNDER Appellate Tribunal</v>
      </c>
      <c r="R8" s="173" t="str">
        <f>IFERROR(__xludf.DUMMYFUNCTION("""COMPUTED_VALUE"""),"Excess ITC Claimed(AUDIT SCRUTINY FY-2017-18) APL-01 FILED &amp;  HEARING APPEARED BEFORE APPEALIATE AUTHORITY")</f>
        <v>Excess ITC Claimed(AUDIT SCRUTINY FY-2017-18) APL-01 FILED &amp;  HEARING APPEARED BEFORE APPEALIATE AUTHORITY</v>
      </c>
      <c r="S8" s="173" t="str">
        <f>IFERROR(__xludf.DUMMYFUNCTION("""COMPUTED_VALUE"""),"CASE IS UNDER TRIBUNAL APPEALIATE AUTHORITY")</f>
        <v>CASE IS UNDER TRIBUNAL APPEALIATE AUTHORITY</v>
      </c>
    </row>
    <row r="9" ht="15.75" customHeight="1">
      <c r="A9" s="173">
        <f>IFERROR(__xludf.DUMMYFUNCTION("""COMPUTED_VALUE"""),32.0)</f>
        <v>32</v>
      </c>
      <c r="B9" s="173" t="str">
        <f>IFERROR(__xludf.DUMMYFUNCTION("""COMPUTED_VALUE"""),"ZD191223069958R")</f>
        <v>ZD191223069958R</v>
      </c>
      <c r="C9" s="173"/>
      <c r="D9" s="126" t="str">
        <f>IFERROR(__xludf.DUMMYFUNCTION("""COMPUTED_VALUE"""),"APL-01 (Appeal Filed)")</f>
        <v>APL-01 (Appeal Filed)</v>
      </c>
      <c r="E9" s="173" t="str">
        <f>IFERROR(__xludf.DUMMYFUNCTION("""COMPUTED_VALUE"""),"2018-19")</f>
        <v>2018-19</v>
      </c>
      <c r="F9" s="162"/>
      <c r="G9" s="113">
        <f>IFERROR(__xludf.DUMMYFUNCTION("""COMPUTED_VALUE"""),45380.0)</f>
        <v>45380</v>
      </c>
      <c r="H9" s="113"/>
      <c r="I9" s="113">
        <f>IFERROR(__xludf.DUMMYFUNCTION("""COMPUTED_VALUE"""),430576.0)</f>
        <v>430576</v>
      </c>
      <c r="J9" s="113">
        <f>IFERROR(__xludf.DUMMYFUNCTION("""COMPUTED_VALUE"""),430576.0)</f>
        <v>430576</v>
      </c>
      <c r="K9" s="113">
        <f>IFERROR(__xludf.DUMMYFUNCTION("""COMPUTED_VALUE"""),0.0)</f>
        <v>0</v>
      </c>
      <c r="L9" s="113">
        <f>IFERROR(__xludf.DUMMYFUNCTION("""COMPUTED_VALUE"""),86116.0)</f>
        <v>86116</v>
      </c>
      <c r="M9" s="113">
        <f>IFERROR(__xludf.DUMMYFUNCTION("""COMPUTED_VALUE"""),0.0)</f>
        <v>0</v>
      </c>
      <c r="N9" s="113">
        <f>IFERROR(__xludf.DUMMYFUNCTION("""COMPUTED_VALUE"""),947268.0)</f>
        <v>947268</v>
      </c>
      <c r="O9" s="173">
        <f>IFERROR(__xludf.DUMMYFUNCTION("""COMPUTED_VALUE"""),86116.0)</f>
        <v>86116</v>
      </c>
      <c r="P9" s="173" t="str">
        <f>IFERROR(__xludf.DUMMYFUNCTION("""COMPUTED_VALUE"""),"Active")</f>
        <v>Active</v>
      </c>
      <c r="Q9" s="173" t="str">
        <f>IFERROR(__xludf.DUMMYFUNCTION("""COMPUTED_VALUE"""),"HEARING ATTENDED NOW CASE UNDER Appellate Tribunal")</f>
        <v>HEARING ATTENDED NOW CASE UNDER Appellate Tribunal</v>
      </c>
      <c r="R9" s="173" t="str">
        <f>IFERROR(__xludf.DUMMYFUNCTION("""COMPUTED_VALUE"""),"Short Payment of Tax (AUDIT SCRUTINY FY-2018-19) APL-01 FILED &amp;  HEARING APPEARED BEFORE APPEALIATE AUTHORITY")</f>
        <v>Short Payment of Tax (AUDIT SCRUTINY FY-2018-19) APL-01 FILED &amp;  HEARING APPEARED BEFORE APPEALIATE AUTHORITY</v>
      </c>
      <c r="S9" s="173" t="str">
        <f>IFERROR(__xludf.DUMMYFUNCTION("""COMPUTED_VALUE"""),"CASE IS UNDER TRIBUNAL APPEALIATE AUTHORITY")</f>
        <v>CASE IS UNDER TRIBUNAL APPEALIATE AUTHORITY</v>
      </c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3" width="22.63"/>
    <col customWidth="1" min="4" max="4" width="6.38"/>
    <col customWidth="1" min="5" max="5" width="25.13"/>
    <col customWidth="1" min="6" max="6" width="43.88"/>
  </cols>
  <sheetData>
    <row r="1" ht="30.0" customHeight="1">
      <c r="A1" s="100" t="s">
        <v>378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219" t="s">
        <v>379</v>
      </c>
      <c r="B3" s="37"/>
      <c r="C3" s="38"/>
      <c r="D3" s="6"/>
      <c r="E3" s="220" t="s">
        <v>380</v>
      </c>
      <c r="F3" s="35"/>
    </row>
    <row r="4" ht="15.75" customHeight="1">
      <c r="A4" s="42" t="s">
        <v>381</v>
      </c>
      <c r="B4" s="41" t="s">
        <v>382</v>
      </c>
      <c r="C4" s="41" t="s">
        <v>383</v>
      </c>
      <c r="D4" s="6"/>
      <c r="E4" s="39" t="s">
        <v>20</v>
      </c>
      <c r="F4" s="39" t="s">
        <v>166</v>
      </c>
    </row>
    <row r="5" ht="15.75" customHeight="1">
      <c r="A5" s="47">
        <v>37.0</v>
      </c>
      <c r="B5" s="46" t="s">
        <v>28</v>
      </c>
      <c r="C5" s="221" t="s">
        <v>332</v>
      </c>
      <c r="D5" s="6"/>
      <c r="E5" s="43" t="s">
        <v>153</v>
      </c>
      <c r="F5" s="43" t="s">
        <v>384</v>
      </c>
    </row>
    <row r="6" ht="15.75" customHeight="1">
      <c r="A6" s="53">
        <v>18.0</v>
      </c>
      <c r="B6" s="52" t="s">
        <v>30</v>
      </c>
      <c r="C6" s="222" t="s">
        <v>343</v>
      </c>
      <c r="D6" s="6"/>
      <c r="E6" s="49" t="s">
        <v>246</v>
      </c>
      <c r="F6" s="49" t="s">
        <v>385</v>
      </c>
    </row>
    <row r="7" ht="15.75" customHeight="1">
      <c r="A7" s="47">
        <v>10.0</v>
      </c>
      <c r="B7" s="46" t="s">
        <v>32</v>
      </c>
      <c r="C7" s="221" t="s">
        <v>345</v>
      </c>
      <c r="D7" s="6"/>
      <c r="E7" s="43" t="s">
        <v>184</v>
      </c>
      <c r="F7" s="43" t="s">
        <v>386</v>
      </c>
    </row>
    <row r="8" ht="15.75" customHeight="1">
      <c r="A8" s="53">
        <v>4.0</v>
      </c>
      <c r="B8" s="52" t="s">
        <v>34</v>
      </c>
      <c r="C8" s="222" t="s">
        <v>347</v>
      </c>
      <c r="D8" s="6"/>
      <c r="E8" s="49" t="s">
        <v>387</v>
      </c>
      <c r="F8" s="49" t="s">
        <v>388</v>
      </c>
    </row>
    <row r="9" ht="15.75" customHeight="1">
      <c r="A9" s="47">
        <v>7.0</v>
      </c>
      <c r="B9" s="46" t="s">
        <v>36</v>
      </c>
      <c r="C9" s="221" t="s">
        <v>349</v>
      </c>
      <c r="D9" s="6"/>
      <c r="E9" s="43" t="s">
        <v>178</v>
      </c>
      <c r="F9" s="43" t="s">
        <v>389</v>
      </c>
    </row>
    <row r="10" ht="15.75" customHeight="1">
      <c r="A10" s="53">
        <v>6.0</v>
      </c>
      <c r="B10" s="52" t="s">
        <v>38</v>
      </c>
      <c r="C10" s="222" t="s">
        <v>351</v>
      </c>
      <c r="D10" s="6"/>
      <c r="E10" s="49" t="s">
        <v>218</v>
      </c>
      <c r="F10" s="49" t="s">
        <v>390</v>
      </c>
    </row>
    <row r="11" ht="15.75" customHeight="1">
      <c r="A11" s="47">
        <v>2.0</v>
      </c>
      <c r="B11" s="46" t="s">
        <v>40</v>
      </c>
      <c r="C11" s="221" t="s">
        <v>353</v>
      </c>
      <c r="D11" s="6"/>
      <c r="E11" s="43" t="s">
        <v>391</v>
      </c>
      <c r="F11" s="43" t="s">
        <v>392</v>
      </c>
    </row>
    <row r="12" ht="15.75" customHeight="1">
      <c r="A12" s="53">
        <v>20.0</v>
      </c>
      <c r="B12" s="52" t="s">
        <v>41</v>
      </c>
      <c r="C12" s="222" t="s">
        <v>355</v>
      </c>
      <c r="D12" s="6"/>
      <c r="E12" s="49" t="s">
        <v>393</v>
      </c>
      <c r="F12" s="49" t="s">
        <v>394</v>
      </c>
    </row>
    <row r="13" ht="15.75" customHeight="1">
      <c r="A13" s="47">
        <v>29.0</v>
      </c>
      <c r="B13" s="46" t="s">
        <v>42</v>
      </c>
      <c r="C13" s="221" t="s">
        <v>357</v>
      </c>
      <c r="D13" s="6"/>
      <c r="E13" s="43" t="s">
        <v>269</v>
      </c>
      <c r="F13" s="43" t="s">
        <v>395</v>
      </c>
    </row>
    <row r="14" ht="15.75" customHeight="1">
      <c r="A14" s="53">
        <v>32.0</v>
      </c>
      <c r="B14" s="52" t="s">
        <v>43</v>
      </c>
      <c r="C14" s="222" t="s">
        <v>359</v>
      </c>
      <c r="D14" s="6"/>
      <c r="E14" s="49" t="s">
        <v>396</v>
      </c>
      <c r="F14" s="49" t="s">
        <v>397</v>
      </c>
    </row>
    <row r="15" ht="15.75" customHeight="1">
      <c r="A15" s="47">
        <v>27.0</v>
      </c>
      <c r="B15" s="46" t="s">
        <v>44</v>
      </c>
      <c r="C15" s="221" t="s">
        <v>361</v>
      </c>
      <c r="D15" s="6"/>
      <c r="E15" s="43" t="s">
        <v>39</v>
      </c>
      <c r="F15" s="43" t="s">
        <v>398</v>
      </c>
    </row>
    <row r="16" ht="15.75" customHeight="1">
      <c r="A16" s="53">
        <v>21.0</v>
      </c>
      <c r="B16" s="52" t="s">
        <v>45</v>
      </c>
      <c r="C16" s="222" t="s">
        <v>363</v>
      </c>
      <c r="D16" s="6"/>
      <c r="E16" s="49" t="s">
        <v>211</v>
      </c>
      <c r="F16" s="49" t="s">
        <v>399</v>
      </c>
    </row>
    <row r="17" ht="15.75" customHeight="1">
      <c r="A17" s="47">
        <v>3.0</v>
      </c>
      <c r="B17" s="46" t="s">
        <v>46</v>
      </c>
      <c r="C17" s="221" t="s">
        <v>365</v>
      </c>
      <c r="D17" s="6"/>
      <c r="E17" s="43" t="s">
        <v>400</v>
      </c>
      <c r="F17" s="43" t="s">
        <v>401</v>
      </c>
    </row>
    <row r="18" ht="15.75" customHeight="1">
      <c r="A18" s="53">
        <v>8.0</v>
      </c>
      <c r="B18" s="52" t="s">
        <v>47</v>
      </c>
      <c r="C18" s="222" t="s">
        <v>367</v>
      </c>
      <c r="D18" s="6"/>
      <c r="E18" s="6"/>
      <c r="F18" s="6"/>
    </row>
    <row r="19" ht="15.75" customHeight="1">
      <c r="A19" s="47">
        <v>33.0</v>
      </c>
      <c r="B19" s="46" t="s">
        <v>48</v>
      </c>
      <c r="C19" s="221" t="s">
        <v>369</v>
      </c>
      <c r="D19" s="6"/>
      <c r="E19" s="6"/>
      <c r="F19" s="6"/>
    </row>
    <row r="20" ht="15.75" customHeight="1">
      <c r="A20" s="53">
        <v>36.0</v>
      </c>
      <c r="B20" s="52" t="s">
        <v>49</v>
      </c>
      <c r="C20" s="222" t="s">
        <v>371</v>
      </c>
      <c r="D20" s="6"/>
      <c r="E20" s="223" t="s">
        <v>402</v>
      </c>
      <c r="F20" s="224"/>
    </row>
    <row r="21" ht="15.75" customHeight="1">
      <c r="A21" s="47">
        <v>9.0</v>
      </c>
      <c r="B21" s="46" t="s">
        <v>50</v>
      </c>
      <c r="C21" s="221" t="s">
        <v>373</v>
      </c>
      <c r="D21" s="6"/>
      <c r="E21" s="225" t="s">
        <v>60</v>
      </c>
      <c r="F21" s="225" t="s">
        <v>166</v>
      </c>
    </row>
    <row r="22" ht="15.75" customHeight="1">
      <c r="A22" s="53">
        <v>5.0</v>
      </c>
      <c r="B22" s="52" t="s">
        <v>51</v>
      </c>
      <c r="C22" s="222" t="s">
        <v>375</v>
      </c>
      <c r="D22" s="6"/>
      <c r="E22" s="226" t="s">
        <v>173</v>
      </c>
      <c r="F22" s="226" t="s">
        <v>403</v>
      </c>
    </row>
    <row r="23" ht="15.75" customHeight="1">
      <c r="A23" s="47">
        <v>19.0</v>
      </c>
      <c r="B23" s="46" t="s">
        <v>52</v>
      </c>
      <c r="C23" s="221" t="s">
        <v>377</v>
      </c>
      <c r="D23" s="6"/>
      <c r="E23" s="227" t="s">
        <v>404</v>
      </c>
      <c r="F23" s="227" t="s">
        <v>405</v>
      </c>
    </row>
    <row r="24" ht="15.75" customHeight="1">
      <c r="A24" s="6"/>
      <c r="B24" s="6"/>
      <c r="C24" s="6"/>
      <c r="D24" s="6"/>
      <c r="E24" s="226" t="s">
        <v>94</v>
      </c>
      <c r="F24" s="226" t="s">
        <v>406</v>
      </c>
    </row>
    <row r="25" ht="15.75" customHeight="1">
      <c r="A25" s="6"/>
      <c r="B25" s="6"/>
      <c r="C25" s="6"/>
      <c r="D25" s="6"/>
      <c r="E25" s="227" t="s">
        <v>317</v>
      </c>
      <c r="F25" s="227" t="s">
        <v>407</v>
      </c>
    </row>
    <row r="26" ht="15.75" customHeight="1">
      <c r="A26" s="6"/>
      <c r="B26" s="6"/>
      <c r="C26" s="6"/>
      <c r="D26" s="6"/>
      <c r="E26" s="226" t="s">
        <v>26</v>
      </c>
      <c r="F26" s="226" t="s">
        <v>408</v>
      </c>
    </row>
    <row r="27" ht="15.75" customHeight="1">
      <c r="A27" s="6"/>
      <c r="B27" s="6"/>
      <c r="C27" s="6"/>
      <c r="D27" s="6"/>
      <c r="E27" s="227" t="s">
        <v>186</v>
      </c>
      <c r="F27" s="227" t="s">
        <v>409</v>
      </c>
    </row>
    <row r="28" ht="15.75" customHeight="1">
      <c r="A28" s="6"/>
      <c r="B28" s="6"/>
      <c r="C28" s="6"/>
      <c r="D28" s="6"/>
      <c r="E28" s="226" t="s">
        <v>319</v>
      </c>
      <c r="F28" s="226" t="s">
        <v>410</v>
      </c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3:C3"/>
    <mergeCell ref="E3:F3"/>
    <mergeCell ref="E20:F20"/>
  </mergeCells>
  <drawing r:id="rId1"/>
</worksheet>
</file>